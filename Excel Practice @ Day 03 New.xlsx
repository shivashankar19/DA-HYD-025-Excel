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32069e94ce2e00/Desktop/Excel/"/>
    </mc:Choice>
  </mc:AlternateContent>
  <xr:revisionPtr revIDLastSave="28" documentId="13_ncr:1_{7B48BDC8-B679-4D25-B3A4-3E37A25B4E6C}" xr6:coauthVersionLast="47" xr6:coauthVersionMax="47" xr10:uidLastSave="{72C89C8D-B30A-489E-A235-590225E3748F}"/>
  <bookViews>
    <workbookView xWindow="-110" yWindow="-110" windowWidth="19420" windowHeight="1030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">Patient_Data!$K$1:$K$41</definedName>
    <definedName name="Bills">Patient_Data!$K$2:$K$41</definedName>
    <definedName name="Department">Patient_Data!$E$2:$E$41</definedName>
    <definedName name="DR">Patient_Data!$I$1:$I$41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" i="1" l="1"/>
  <c r="I64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H66" i="1"/>
  <c r="H63" i="1"/>
</calcChain>
</file>

<file path=xl/sharedStrings.xml><?xml version="1.0" encoding="utf-8"?>
<sst xmlns="http://schemas.openxmlformats.org/spreadsheetml/2006/main" count="458" uniqueCount="225">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</sst>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"/>
  <sheetViews>
    <sheetView tabSelected="1" topLeftCell="B26" zoomScale="92" workbookViewId="0">
      <selection activeCell="I66" sqref="I66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15.90625" customWidth="1"/>
    <col min="17" max="17" width="21" customWidth="1"/>
    <col min="18" max="18" width="17.36328125" customWidth="1"/>
    <col min="19" max="19" width="17.6328125" customWidth="1"/>
    <col min="20" max="20" width="18.08984375" customWidth="1"/>
    <col min="22" max="22" width="2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/>
      <c r="O1" s="14"/>
      <c r="P1" s="14"/>
      <c r="Q1" s="14"/>
      <c r="R1" s="14"/>
      <c r="S1" s="14"/>
      <c r="T1" s="14"/>
    </row>
    <row r="2" spans="1:20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</row>
    <row r="3" spans="1:20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</row>
    <row r="4" spans="1:20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</row>
    <row r="5" spans="1:20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</row>
    <row r="6" spans="1:20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</row>
    <row r="7" spans="1:20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</row>
    <row r="8" spans="1:20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</row>
    <row r="9" spans="1:20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</row>
    <row r="10" spans="1:20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</row>
    <row r="11" spans="1:20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</row>
    <row r="12" spans="1:20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</row>
    <row r="13" spans="1:20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</row>
    <row r="14" spans="1:20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</row>
    <row r="15" spans="1:20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</row>
    <row r="16" spans="1:20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</row>
    <row r="17" spans="1:13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</row>
    <row r="18" spans="1:13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</row>
    <row r="19" spans="1:13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</row>
    <row r="20" spans="1:13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</row>
    <row r="21" spans="1:13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</row>
    <row r="22" spans="1:13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</row>
    <row r="23" spans="1:13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</row>
    <row r="24" spans="1:13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</row>
    <row r="25" spans="1:13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</row>
    <row r="26" spans="1:13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</row>
    <row r="27" spans="1:13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</row>
    <row r="28" spans="1:13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</row>
    <row r="29" spans="1:13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</row>
    <row r="30" spans="1:13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</row>
    <row r="31" spans="1:13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</row>
    <row r="32" spans="1:13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</row>
    <row r="33" spans="1:13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</row>
    <row r="34" spans="1:13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</row>
    <row r="35" spans="1:13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</row>
    <row r="36" spans="1:13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</row>
    <row r="37" spans="1:13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</row>
    <row r="38" spans="1:13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</row>
    <row r="39" spans="1:13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</row>
    <row r="40" spans="1:13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</row>
    <row r="41" spans="1:13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</row>
    <row r="47" spans="1:13">
      <c r="E47" t="s">
        <v>123</v>
      </c>
      <c r="I47">
        <f>SUM(Bill)</f>
        <v>1019500</v>
      </c>
    </row>
    <row r="48" spans="1:13">
      <c r="E48" t="s">
        <v>138</v>
      </c>
      <c r="I48">
        <f>SUMIF(Department,E41,Bill)</f>
        <v>110000</v>
      </c>
    </row>
    <row r="49" spans="5:9">
      <c r="E49" t="s">
        <v>139</v>
      </c>
      <c r="I49">
        <f>COUNTIF(Department,"dermatology")</f>
        <v>7</v>
      </c>
    </row>
    <row r="50" spans="5:9">
      <c r="E50" t="s">
        <v>140</v>
      </c>
      <c r="I50">
        <f>AVERAGEIF(Department,E39,Bill)</f>
        <v>18857.142857142859</v>
      </c>
    </row>
    <row r="51" spans="5:9">
      <c r="E51" t="s">
        <v>124</v>
      </c>
      <c r="I51">
        <f>SUMIF(J2:J41,J40,Bill)</f>
        <v>222500</v>
      </c>
    </row>
    <row r="52" spans="5:9">
      <c r="E52" t="s">
        <v>125</v>
      </c>
      <c r="I52">
        <f>COUNTIF(L2:L41,L40)</f>
        <v>10</v>
      </c>
    </row>
    <row r="53" spans="5:9">
      <c r="E53" t="s">
        <v>126</v>
      </c>
      <c r="I53">
        <f>SUMIF(L2:L41,L40,Bills)</f>
        <v>344500</v>
      </c>
    </row>
    <row r="54" spans="5:9">
      <c r="E54" t="s">
        <v>127</v>
      </c>
      <c r="I54">
        <f>SUMIFS(Bills,Department,E41,J2:J41,J33)</f>
        <v>275500</v>
      </c>
    </row>
    <row r="55" spans="5:9">
      <c r="E55" t="s">
        <v>128</v>
      </c>
      <c r="I55">
        <f>COUNTIFS(Department,E41,L2:L41,L36)</f>
        <v>4</v>
      </c>
    </row>
    <row r="56" spans="5:9">
      <c r="E56" t="s">
        <v>129</v>
      </c>
      <c r="I56">
        <f>AVERAGEIF(J2:J41,J32,Bills)</f>
        <v>25766.666666666668</v>
      </c>
    </row>
    <row r="57" spans="5:9">
      <c r="E57" t="s">
        <v>130</v>
      </c>
      <c r="I57">
        <f>COUNTIF(Bills,"&gt;40000")</f>
        <v>9</v>
      </c>
    </row>
    <row r="58" spans="5:9">
      <c r="E58" t="s">
        <v>131</v>
      </c>
      <c r="I58">
        <f>SUMIF(Bills,"&gt;40000",Bills)</f>
        <v>508000</v>
      </c>
    </row>
    <row r="59" spans="5:9">
      <c r="E59" t="s">
        <v>132</v>
      </c>
      <c r="I59">
        <f>COUNTIF(M2:M41,"&gt;5")</f>
        <v>11</v>
      </c>
    </row>
    <row r="60" spans="5:9">
      <c r="E60" t="s">
        <v>133</v>
      </c>
      <c r="I60">
        <f>SUMIF(M2:M41,"&gt;5",Bills)</f>
        <v>582000</v>
      </c>
    </row>
    <row r="61" spans="5:9">
      <c r="E61" t="s">
        <v>134</v>
      </c>
      <c r="I61">
        <f>SUMIFS(Bills,Department,"Cardiology",M2:M41,"&gt;5")</f>
        <v>320000</v>
      </c>
    </row>
    <row r="62" spans="5:9">
      <c r="E62" t="s">
        <v>135</v>
      </c>
      <c r="I62">
        <f>AVERAGEIF(L2:L41,L5,M2:M41)</f>
        <v>5.8</v>
      </c>
    </row>
    <row r="63" spans="5:9">
      <c r="E63" t="s">
        <v>136</v>
      </c>
      <c r="H63">
        <f>_xlfn.MAXIFS(Bills,Department,E16)</f>
        <v>76000</v>
      </c>
    </row>
    <row r="64" spans="5:9">
      <c r="E64" t="s">
        <v>137</v>
      </c>
      <c r="I64">
        <f>_xlfn.MINIFS(Bills,Department,"Orthopedics")</f>
        <v>12500</v>
      </c>
    </row>
    <row r="65" spans="5:9">
      <c r="E65" t="s">
        <v>141</v>
      </c>
      <c r="I65">
        <f>COUNTIFS(Department,"Cardiology",L2:L41,L5)</f>
        <v>4</v>
      </c>
    </row>
    <row r="66" spans="5:9">
      <c r="E66" t="s">
        <v>142</v>
      </c>
      <c r="H66">
        <f>AVERAGEIFS(Bills,Department,E2,J2:J41,J22)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A2" sqref="A2"/>
    </sheetView>
  </sheetViews>
  <sheetFormatPr defaultRowHeight="14.5"/>
  <cols>
    <col min="1" max="1" width="98.08984375" customWidth="1"/>
    <col min="2" max="2" width="14" customWidth="1"/>
  </cols>
  <sheetData>
    <row r="1" spans="1:1">
      <c r="A1" s="10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1" t="s">
        <v>190</v>
      </c>
    </row>
    <row r="7" spans="1:1">
      <c r="A7" s="11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1"/>
    </row>
    <row r="13" spans="1:1">
      <c r="A13" t="s">
        <v>195</v>
      </c>
    </row>
    <row r="14" spans="1:1">
      <c r="A14" s="11" t="s">
        <v>196</v>
      </c>
    </row>
    <row r="15" spans="1:1">
      <c r="A15" s="12" t="s">
        <v>197</v>
      </c>
    </row>
    <row r="16" spans="1:1">
      <c r="A16" s="11" t="s">
        <v>198</v>
      </c>
    </row>
    <row r="18" spans="1:3">
      <c r="A18" t="s">
        <v>199</v>
      </c>
    </row>
    <row r="19" spans="1:3">
      <c r="A19" s="11" t="s">
        <v>200</v>
      </c>
    </row>
    <row r="20" spans="1:3">
      <c r="A20" s="11" t="s">
        <v>197</v>
      </c>
    </row>
    <row r="21" spans="1:3">
      <c r="A21" s="11" t="s">
        <v>201</v>
      </c>
    </row>
    <row r="23" spans="1:3">
      <c r="A23" t="s">
        <v>202</v>
      </c>
    </row>
    <row r="24" spans="1:3">
      <c r="A24" s="11" t="s">
        <v>203</v>
      </c>
    </row>
    <row r="25" spans="1:3">
      <c r="A25" s="11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3"/>
    </row>
    <row r="30" spans="1:3">
      <c r="A30" t="s">
        <v>207</v>
      </c>
      <c r="B30" s="4" t="s">
        <v>208</v>
      </c>
      <c r="C30" s="5" t="s">
        <v>209</v>
      </c>
    </row>
    <row r="31" spans="1:3">
      <c r="B31" s="3" t="s">
        <v>210</v>
      </c>
      <c r="C31" s="6" t="s">
        <v>211</v>
      </c>
    </row>
    <row r="32" spans="1:3">
      <c r="B32" s="3" t="s">
        <v>212</v>
      </c>
      <c r="C32" s="6" t="s">
        <v>213</v>
      </c>
    </row>
    <row r="33" spans="1:3">
      <c r="A33" s="13"/>
      <c r="B33" s="3" t="s">
        <v>214</v>
      </c>
      <c r="C33" s="6" t="s">
        <v>215</v>
      </c>
    </row>
    <row r="34" spans="1:3">
      <c r="B34" s="3" t="s">
        <v>216</v>
      </c>
      <c r="C34" s="6" t="s">
        <v>217</v>
      </c>
    </row>
    <row r="37" spans="1:3">
      <c r="A37" t="s">
        <v>218</v>
      </c>
    </row>
    <row r="38" spans="1:3">
      <c r="A38" s="11" t="s">
        <v>219</v>
      </c>
    </row>
    <row r="39" spans="1:3">
      <c r="A39" s="11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1"/>
    </row>
    <row r="44" spans="1:3">
      <c r="A44" s="11" t="s">
        <v>223</v>
      </c>
    </row>
    <row r="45" spans="1:3">
      <c r="A45" s="12" t="s">
        <v>224</v>
      </c>
    </row>
    <row r="47" spans="1:3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topLeftCell="A14" workbookViewId="0">
      <selection activeCell="G21" sqref="G2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4" t="s">
        <v>143</v>
      </c>
      <c r="B1" s="5" t="s">
        <v>144</v>
      </c>
      <c r="C1" s="5" t="s">
        <v>145</v>
      </c>
      <c r="D1" s="4" t="s">
        <v>146</v>
      </c>
    </row>
    <row r="2" spans="1:4">
      <c r="A2" s="3">
        <v>1</v>
      </c>
      <c r="B2" s="6" t="s">
        <v>147</v>
      </c>
      <c r="C2" s="7" t="s">
        <v>148</v>
      </c>
      <c r="D2" s="8">
        <v>1019500</v>
      </c>
    </row>
    <row r="3" spans="1:4">
      <c r="A3" s="3">
        <v>2</v>
      </c>
      <c r="B3" s="6" t="s">
        <v>149</v>
      </c>
      <c r="C3" s="7" t="s">
        <v>150</v>
      </c>
      <c r="D3" s="8">
        <v>443500</v>
      </c>
    </row>
    <row r="4" spans="1:4">
      <c r="A4" s="3">
        <v>2</v>
      </c>
      <c r="B4" s="6" t="s">
        <v>151</v>
      </c>
      <c r="C4" s="7" t="s">
        <v>150</v>
      </c>
      <c r="D4" s="8">
        <v>89500</v>
      </c>
    </row>
    <row r="5" spans="1:4">
      <c r="A5" s="3">
        <v>2</v>
      </c>
      <c r="B5" s="6" t="s">
        <v>152</v>
      </c>
      <c r="C5" s="7" t="s">
        <v>150</v>
      </c>
      <c r="D5" s="8">
        <v>77500</v>
      </c>
    </row>
    <row r="6" spans="1:4">
      <c r="A6" s="3">
        <v>2</v>
      </c>
      <c r="B6" s="6" t="s">
        <v>153</v>
      </c>
      <c r="C6" s="7" t="s">
        <v>150</v>
      </c>
      <c r="D6" s="8">
        <v>179000</v>
      </c>
    </row>
    <row r="7" spans="1:4">
      <c r="A7" s="3">
        <v>2</v>
      </c>
      <c r="B7" s="6" t="s">
        <v>154</v>
      </c>
      <c r="C7" s="7" t="s">
        <v>150</v>
      </c>
      <c r="D7" s="8">
        <v>230000</v>
      </c>
    </row>
    <row r="8" spans="1:4">
      <c r="A8" s="3">
        <v>3</v>
      </c>
      <c r="B8" s="6" t="s">
        <v>155</v>
      </c>
      <c r="C8" s="7" t="s">
        <v>156</v>
      </c>
      <c r="D8" s="4">
        <v>10</v>
      </c>
    </row>
    <row r="9" spans="1:4">
      <c r="A9" s="3">
        <v>3</v>
      </c>
      <c r="B9" s="6" t="s">
        <v>157</v>
      </c>
      <c r="C9" s="7" t="s">
        <v>156</v>
      </c>
      <c r="D9" s="4">
        <v>7</v>
      </c>
    </row>
    <row r="10" spans="1:4">
      <c r="A10" s="3">
        <v>3</v>
      </c>
      <c r="B10" s="6" t="s">
        <v>158</v>
      </c>
      <c r="C10" s="7" t="s">
        <v>156</v>
      </c>
      <c r="D10" s="4">
        <v>8</v>
      </c>
    </row>
    <row r="11" spans="1:4">
      <c r="A11" s="3">
        <v>3</v>
      </c>
      <c r="B11" s="6" t="s">
        <v>159</v>
      </c>
      <c r="C11" s="7" t="s">
        <v>156</v>
      </c>
      <c r="D11" s="4">
        <v>7</v>
      </c>
    </row>
    <row r="12" spans="1:4">
      <c r="A12" s="3">
        <v>3</v>
      </c>
      <c r="B12" s="6" t="s">
        <v>160</v>
      </c>
      <c r="C12" s="7" t="s">
        <v>156</v>
      </c>
      <c r="D12" s="4">
        <v>8</v>
      </c>
    </row>
    <row r="13" spans="1:4">
      <c r="A13" s="3">
        <v>4</v>
      </c>
      <c r="B13" s="6" t="s">
        <v>161</v>
      </c>
      <c r="C13" s="7" t="s">
        <v>162</v>
      </c>
      <c r="D13" s="8">
        <v>44350</v>
      </c>
    </row>
    <row r="14" spans="1:4">
      <c r="A14" s="3">
        <v>4</v>
      </c>
      <c r="B14" s="6" t="s">
        <v>163</v>
      </c>
      <c r="C14" s="7" t="s">
        <v>162</v>
      </c>
      <c r="D14" s="9">
        <v>12785.71</v>
      </c>
    </row>
    <row r="15" spans="1:4">
      <c r="A15" s="3">
        <v>4</v>
      </c>
      <c r="B15" s="6" t="s">
        <v>164</v>
      </c>
      <c r="C15" s="7" t="s">
        <v>162</v>
      </c>
      <c r="D15" s="9">
        <v>9687.5</v>
      </c>
    </row>
    <row r="16" spans="1:4">
      <c r="A16" s="3">
        <v>4</v>
      </c>
      <c r="B16" s="6" t="s">
        <v>165</v>
      </c>
      <c r="C16" s="7" t="s">
        <v>162</v>
      </c>
      <c r="D16" s="9">
        <v>25571.43</v>
      </c>
    </row>
    <row r="17" spans="1:4">
      <c r="A17" s="3">
        <v>4</v>
      </c>
      <c r="B17" s="6" t="s">
        <v>166</v>
      </c>
      <c r="C17" s="7" t="s">
        <v>162</v>
      </c>
      <c r="D17" s="8">
        <v>28750</v>
      </c>
    </row>
    <row r="18" spans="1:4">
      <c r="A18" s="3">
        <v>5</v>
      </c>
      <c r="B18" s="6" t="s">
        <v>167</v>
      </c>
      <c r="C18" s="7" t="s">
        <v>150</v>
      </c>
      <c r="D18" s="8">
        <v>499500</v>
      </c>
    </row>
    <row r="19" spans="1:4">
      <c r="A19" s="3">
        <v>6</v>
      </c>
      <c r="B19" s="6" t="s">
        <v>168</v>
      </c>
      <c r="C19" s="7" t="s">
        <v>156</v>
      </c>
      <c r="D19" s="4">
        <v>10</v>
      </c>
    </row>
    <row r="20" spans="1:4">
      <c r="A20" s="3">
        <v>7</v>
      </c>
      <c r="B20" s="6" t="s">
        <v>169</v>
      </c>
      <c r="C20" s="7" t="s">
        <v>150</v>
      </c>
      <c r="D20" s="8">
        <v>344500</v>
      </c>
    </row>
    <row r="21" spans="1:4">
      <c r="A21" s="3">
        <v>8</v>
      </c>
      <c r="B21" s="6" t="s">
        <v>170</v>
      </c>
      <c r="C21" s="7" t="s">
        <v>171</v>
      </c>
      <c r="D21" s="8">
        <v>275500</v>
      </c>
    </row>
    <row r="22" spans="1:4">
      <c r="A22" s="3">
        <v>9</v>
      </c>
      <c r="B22" s="6" t="s">
        <v>172</v>
      </c>
      <c r="C22" s="7" t="s">
        <v>173</v>
      </c>
      <c r="D22" s="4">
        <v>4</v>
      </c>
    </row>
    <row r="23" spans="1:4">
      <c r="A23" s="3">
        <v>10</v>
      </c>
      <c r="B23" s="6" t="s">
        <v>174</v>
      </c>
      <c r="C23" s="7" t="s">
        <v>162</v>
      </c>
      <c r="D23" s="9">
        <v>25766.67</v>
      </c>
    </row>
    <row r="24" spans="1:4">
      <c r="A24" s="3">
        <v>11</v>
      </c>
      <c r="B24" s="6" t="s">
        <v>175</v>
      </c>
      <c r="C24" s="7" t="s">
        <v>156</v>
      </c>
      <c r="D24" s="4">
        <v>9</v>
      </c>
    </row>
    <row r="25" spans="1:4">
      <c r="A25" s="3">
        <v>12</v>
      </c>
      <c r="B25" s="6" t="s">
        <v>176</v>
      </c>
      <c r="C25" s="7" t="s">
        <v>150</v>
      </c>
      <c r="D25" s="8">
        <v>508000</v>
      </c>
    </row>
    <row r="26" spans="1:4">
      <c r="A26" s="3">
        <v>13</v>
      </c>
      <c r="B26" s="6" t="s">
        <v>177</v>
      </c>
      <c r="C26" s="7" t="s">
        <v>156</v>
      </c>
      <c r="D26" s="4">
        <v>11</v>
      </c>
    </row>
    <row r="27" spans="1:4">
      <c r="A27" s="3">
        <v>14</v>
      </c>
      <c r="B27" s="6" t="s">
        <v>178</v>
      </c>
      <c r="C27" s="7" t="s">
        <v>150</v>
      </c>
      <c r="D27" s="8">
        <v>582000</v>
      </c>
    </row>
    <row r="28" spans="1:4">
      <c r="A28" s="3">
        <v>15</v>
      </c>
      <c r="B28" s="6" t="s">
        <v>179</v>
      </c>
      <c r="C28" s="7" t="s">
        <v>171</v>
      </c>
      <c r="D28" s="8">
        <v>320000</v>
      </c>
    </row>
    <row r="29" spans="1:4" ht="29">
      <c r="A29" s="3">
        <v>16</v>
      </c>
      <c r="B29" s="6" t="s">
        <v>180</v>
      </c>
      <c r="C29" s="7" t="s">
        <v>162</v>
      </c>
      <c r="D29" s="4" t="s">
        <v>181</v>
      </c>
    </row>
    <row r="30" spans="1:4">
      <c r="A30" s="3">
        <v>17</v>
      </c>
      <c r="B30" s="6" t="s">
        <v>182</v>
      </c>
      <c r="C30" s="7" t="s">
        <v>183</v>
      </c>
      <c r="D30" s="8">
        <v>76000</v>
      </c>
    </row>
    <row r="31" spans="1:4">
      <c r="A31" s="3">
        <v>18</v>
      </c>
      <c r="B31" s="6" t="s">
        <v>184</v>
      </c>
      <c r="C31" s="7" t="s">
        <v>185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Patient_Data</vt:lpstr>
      <vt:lpstr>Questions</vt:lpstr>
      <vt:lpstr>Answers</vt:lpstr>
      <vt:lpstr>Bill</vt:lpstr>
      <vt:lpstr>Bills</vt:lpstr>
      <vt:lpstr>Department</vt:lpstr>
      <vt:lpstr>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Kancharla Shiva Shankar</cp:lastModifiedBy>
  <dcterms:created xsi:type="dcterms:W3CDTF">2026-09-09T05:55:57Z</dcterms:created>
  <dcterms:modified xsi:type="dcterms:W3CDTF">2026-09-30T09:02:40Z</dcterms:modified>
</cp:coreProperties>
</file>