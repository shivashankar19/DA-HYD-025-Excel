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32069e94ce2e00/Desktop/Excel/"/>
    </mc:Choice>
  </mc:AlternateContent>
  <xr:revisionPtr revIDLastSave="24" documentId="13_ncr:1_{B85AD010-C4ED-4F97-871D-9262F2A8A9BC}" xr6:coauthVersionLast="47" xr6:coauthVersionMax="47" xr10:uidLastSave="{83D459DA-2B94-4D71-8F68-2DF1793CEE5F}"/>
  <bookViews>
    <workbookView xWindow="-110" yWindow="-110" windowWidth="19420" windowHeight="10300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2" l="1"/>
  <c r="H23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1A1270-316A-4D13-BE72-264DE4F9E020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<sst xmlns="http://schemas.openxmlformats.org/spreadsheetml/2006/main" count="193" uniqueCount="136">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</sst>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15" fontId="0" fillId="3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4DD94D-B5CB-46FB-B8CA-CB83D510DCD2}" name="Table2" displayName="Table2" ref="A1:J19" totalsRowShown="0" headerRowDxfId="12" dataDxfId="11" tableBorderDxfId="10">
  <autoFilter ref="A1:J19" xr:uid="{FD4DD94D-B5CB-46FB-B8CA-CB83D510DCD2}"/>
  <tableColumns count="10">
    <tableColumn id="1" xr3:uid="{BE67F377-A056-46C3-B85C-AF01252BC34F}" name="Emp_ID" dataDxfId="9"/>
    <tableColumn id="2" xr3:uid="{72544D9D-D3EF-42D8-B584-E16ED0CE0A77}" name="Employee_Name" dataDxfId="8"/>
    <tableColumn id="3" xr3:uid="{453A5A62-5CAA-4F10-9679-8E71834B5D70}" name="Email" dataDxfId="7" dataCellStyle="Hyperlink"/>
    <tableColumn id="4" xr3:uid="{8D6B1416-AB2F-47B6-9EC7-1D39890E2EFB}" name="Department" dataDxfId="6"/>
    <tableColumn id="5" xr3:uid="{12DDE9F5-CA73-4620-A0CE-A38D14742DFB}" name="Location" dataDxfId="5"/>
    <tableColumn id="6" xr3:uid="{3312EB3A-1B0F-485D-AC58-324356BA7757}" name="Joining_Date" dataDxfId="4"/>
    <tableColumn id="7" xr3:uid="{5B173810-2066-4808-9840-AFFA3AA2C20B}" name="DOB" dataDxfId="3"/>
    <tableColumn id="8" xr3:uid="{2009D5C3-9ABA-4F1C-B8A2-AD14F45B03C4}" name="Employee_Code" dataDxfId="2"/>
    <tableColumn id="9" xr3:uid="{ED8A2921-1C6B-4004-B13B-26C1968473E6}" name="Salary" dataDxfId="1"/>
    <tableColumn id="10" xr3:uid="{A8FA3A1E-C72F-4559-AB7F-5143CE359C45}" name="Name" dataDxfId="0">
      <calculatedColumnFormula>UPPER(Practice!$B2)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I21"/>
  <sheetViews>
    <sheetView topLeftCell="A10" workbookViewId="0">
      <selection activeCell="E7" sqref="E7"/>
    </sheetView>
  </sheetViews>
  <sheetFormatPr defaultRowHeight="14.5"/>
  <cols>
    <col min="1" max="1" width="15.90625" customWidth="1"/>
    <col min="2" max="2" width="18.54296875" customWidth="1"/>
    <col min="3" max="3" width="15.81640625" customWidth="1"/>
    <col min="4" max="4" width="15.36328125" customWidth="1"/>
    <col min="5" max="5" width="14.453125" customWidth="1"/>
    <col min="6" max="6" width="16" customWidth="1"/>
    <col min="9" max="9" width="15" customWidth="1"/>
    <col min="10" max="10" width="19.08984375" customWidth="1"/>
  </cols>
  <sheetData>
    <row r="1" spans="1:9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9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</row>
    <row r="3" spans="1:9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</row>
    <row r="4" spans="1:9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9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9">
      <c r="E6" s="1">
        <v>100000</v>
      </c>
      <c r="F6" s="4">
        <v>0.15</v>
      </c>
    </row>
    <row r="7" spans="1:9" ht="43.5">
      <c r="I7" s="3" t="s">
        <v>16</v>
      </c>
    </row>
    <row r="13" spans="1:9" ht="18.5">
      <c r="A13" s="11" t="s">
        <v>133</v>
      </c>
      <c r="B13" s="11" t="s">
        <v>11</v>
      </c>
      <c r="C13" s="11" t="s">
        <v>1</v>
      </c>
      <c r="D13" s="11" t="s">
        <v>20</v>
      </c>
      <c r="E13" s="11" t="s">
        <v>24</v>
      </c>
    </row>
    <row r="14" spans="1:9" ht="18.5">
      <c r="A14" s="12" t="s">
        <v>25</v>
      </c>
      <c r="B14" s="12" t="s">
        <v>4</v>
      </c>
      <c r="C14" s="12" t="s">
        <v>5</v>
      </c>
      <c r="D14" s="12" t="s">
        <v>28</v>
      </c>
      <c r="E14" s="12">
        <v>40000</v>
      </c>
    </row>
    <row r="15" spans="1:9" ht="18.5">
      <c r="A15" s="12" t="s">
        <v>30</v>
      </c>
      <c r="B15" s="12" t="s">
        <v>2</v>
      </c>
      <c r="C15" s="12" t="s">
        <v>3</v>
      </c>
      <c r="D15" s="12" t="s">
        <v>37</v>
      </c>
      <c r="E15" s="12">
        <v>55000</v>
      </c>
    </row>
    <row r="16" spans="1:9" ht="18.5">
      <c r="A16" s="12" t="s">
        <v>34</v>
      </c>
      <c r="B16" s="12" t="s">
        <v>134</v>
      </c>
      <c r="C16" s="12" t="s">
        <v>6</v>
      </c>
      <c r="D16" s="12" t="s">
        <v>42</v>
      </c>
      <c r="E16" s="12">
        <v>48000</v>
      </c>
    </row>
    <row r="17" spans="1:7" ht="18.5">
      <c r="A17" s="12" t="s">
        <v>39</v>
      </c>
      <c r="B17" s="12" t="s">
        <v>7</v>
      </c>
      <c r="C17" s="12" t="s">
        <v>8</v>
      </c>
      <c r="D17" s="12" t="s">
        <v>28</v>
      </c>
      <c r="E17" s="12">
        <v>42000</v>
      </c>
    </row>
    <row r="21" spans="1:7" ht="37">
      <c r="C21" s="11" t="s">
        <v>133</v>
      </c>
      <c r="D21" s="11" t="s">
        <v>11</v>
      </c>
      <c r="E21" s="11" t="s">
        <v>1</v>
      </c>
      <c r="F21" s="11" t="s">
        <v>20</v>
      </c>
      <c r="G21" s="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J62"/>
  <sheetViews>
    <sheetView tabSelected="1" topLeftCell="C48" workbookViewId="0">
      <selection activeCell="F63" sqref="F63"/>
    </sheetView>
  </sheetViews>
  <sheetFormatPr defaultRowHeight="14.5"/>
  <cols>
    <col min="1" max="1" width="20.1796875" customWidth="1"/>
    <col min="2" max="2" width="20.6328125" customWidth="1"/>
    <col min="3" max="3" width="24.36328125" customWidth="1"/>
    <col min="4" max="4" width="15.453125" customWidth="1"/>
    <col min="5" max="5" width="14" customWidth="1"/>
    <col min="6" max="6" width="16.08984375" customWidth="1"/>
    <col min="7" max="7" width="16.1796875" customWidth="1"/>
    <col min="8" max="8" width="18.54296875" customWidth="1"/>
    <col min="9" max="9" width="12.90625" customWidth="1"/>
    <col min="10" max="10" width="14.453125" customWidth="1"/>
  </cols>
  <sheetData>
    <row r="1" spans="1:10">
      <c r="A1" s="19" t="s">
        <v>17</v>
      </c>
      <c r="B1" s="19" t="s">
        <v>18</v>
      </c>
      <c r="C1" s="19" t="s">
        <v>19</v>
      </c>
      <c r="D1" s="19" t="s">
        <v>1</v>
      </c>
      <c r="E1" s="19" t="s">
        <v>20</v>
      </c>
      <c r="F1" s="19" t="s">
        <v>21</v>
      </c>
      <c r="G1" s="19" t="s">
        <v>22</v>
      </c>
      <c r="H1" s="19" t="s">
        <v>23</v>
      </c>
      <c r="I1" s="19" t="s">
        <v>24</v>
      </c>
      <c r="J1" s="19" t="s">
        <v>135</v>
      </c>
    </row>
    <row r="2" spans="1:10">
      <c r="A2" s="13" t="s">
        <v>25</v>
      </c>
      <c r="B2" s="13" t="s">
        <v>26</v>
      </c>
      <c r="C2" s="14" t="s">
        <v>27</v>
      </c>
      <c r="D2" s="13" t="s">
        <v>8</v>
      </c>
      <c r="E2" s="13" t="s">
        <v>28</v>
      </c>
      <c r="F2" s="15">
        <v>44576</v>
      </c>
      <c r="G2" s="15">
        <v>34862</v>
      </c>
      <c r="H2" s="13" t="s">
        <v>29</v>
      </c>
      <c r="I2" s="13">
        <v>45000</v>
      </c>
      <c r="J2" s="13" t="str">
        <f>UPPER(Practice!$B2)</f>
        <v>RAHUL SHARMA</v>
      </c>
    </row>
    <row r="3" spans="1:10">
      <c r="A3" s="16" t="s">
        <v>30</v>
      </c>
      <c r="B3" s="16" t="s">
        <v>31</v>
      </c>
      <c r="C3" s="17" t="s">
        <v>32</v>
      </c>
      <c r="D3" s="16" t="s">
        <v>6</v>
      </c>
      <c r="E3" s="16" t="s">
        <v>28</v>
      </c>
      <c r="F3" s="18">
        <v>44277</v>
      </c>
      <c r="G3" s="18">
        <v>33821</v>
      </c>
      <c r="H3" s="16" t="s">
        <v>33</v>
      </c>
      <c r="I3" s="16">
        <v>52000</v>
      </c>
      <c r="J3" s="16" t="str">
        <f>UPPER(Practice!$B3)</f>
        <v>PRIYA REDDY</v>
      </c>
    </row>
    <row r="4" spans="1:10">
      <c r="A4" s="13" t="s">
        <v>34</v>
      </c>
      <c r="B4" s="13" t="s">
        <v>35</v>
      </c>
      <c r="C4" s="14" t="s">
        <v>36</v>
      </c>
      <c r="D4" s="13" t="s">
        <v>3</v>
      </c>
      <c r="E4" s="13" t="s">
        <v>37</v>
      </c>
      <c r="F4" s="15">
        <v>45117</v>
      </c>
      <c r="G4" s="15">
        <v>35844</v>
      </c>
      <c r="H4" s="13" t="s">
        <v>38</v>
      </c>
      <c r="I4" s="13">
        <v>48000</v>
      </c>
      <c r="J4" s="13" t="str">
        <f>UPPER(Practice!$B4)</f>
        <v>ANIL KUMAR</v>
      </c>
    </row>
    <row r="5" spans="1:10">
      <c r="A5" s="16" t="s">
        <v>39</v>
      </c>
      <c r="B5" s="16" t="s">
        <v>40</v>
      </c>
      <c r="C5" s="17" t="s">
        <v>41</v>
      </c>
      <c r="D5" s="16" t="s">
        <v>5</v>
      </c>
      <c r="E5" s="16" t="s">
        <v>42</v>
      </c>
      <c r="F5" s="18">
        <v>43866</v>
      </c>
      <c r="G5" s="18">
        <v>33202</v>
      </c>
      <c r="H5" s="16" t="s">
        <v>43</v>
      </c>
      <c r="I5" s="16">
        <v>50000</v>
      </c>
      <c r="J5" s="16" t="str">
        <f>UPPER(Practice!$B5)</f>
        <v>SNEHA RAO</v>
      </c>
    </row>
    <row r="6" spans="1:10">
      <c r="A6" s="13" t="s">
        <v>44</v>
      </c>
      <c r="B6" s="13" t="s">
        <v>45</v>
      </c>
      <c r="C6" s="14" t="s">
        <v>46</v>
      </c>
      <c r="D6" s="13" t="s">
        <v>3</v>
      </c>
      <c r="E6" s="13" t="s">
        <v>28</v>
      </c>
      <c r="F6" s="15">
        <v>44822</v>
      </c>
      <c r="G6" s="15">
        <v>35154</v>
      </c>
      <c r="H6" s="13" t="s">
        <v>47</v>
      </c>
      <c r="I6" s="13">
        <v>60000</v>
      </c>
      <c r="J6" s="13" t="str">
        <f>UPPER(Practice!$B6)</f>
        <v>ARJUN VERMA</v>
      </c>
    </row>
    <row r="7" spans="1:10">
      <c r="A7" s="16" t="s">
        <v>48</v>
      </c>
      <c r="B7" s="16" t="s">
        <v>49</v>
      </c>
      <c r="C7" s="17" t="s">
        <v>50</v>
      </c>
      <c r="D7" s="16" t="s">
        <v>8</v>
      </c>
      <c r="E7" s="16" t="s">
        <v>51</v>
      </c>
      <c r="F7" s="18">
        <v>45393</v>
      </c>
      <c r="G7" s="18">
        <v>36539</v>
      </c>
      <c r="H7" s="16" t="s">
        <v>52</v>
      </c>
      <c r="I7" s="16">
        <v>38000</v>
      </c>
      <c r="J7" s="16" t="str">
        <f>UPPER(Practice!$B7)</f>
        <v>MEENA DEVI</v>
      </c>
    </row>
    <row r="8" spans="1:10">
      <c r="A8" s="13" t="s">
        <v>53</v>
      </c>
      <c r="B8" s="13" t="s">
        <v>54</v>
      </c>
      <c r="C8" s="14" t="s">
        <v>55</v>
      </c>
      <c r="D8" s="13" t="s">
        <v>6</v>
      </c>
      <c r="E8" s="13" t="s">
        <v>37</v>
      </c>
      <c r="F8" s="15">
        <v>44527</v>
      </c>
      <c r="G8" s="15">
        <v>34171</v>
      </c>
      <c r="H8" s="13" t="s">
        <v>56</v>
      </c>
      <c r="I8" s="13">
        <v>57000</v>
      </c>
      <c r="J8" s="13" t="str">
        <f>UPPER(Practice!$B8)</f>
        <v>KIRAN REDDY</v>
      </c>
    </row>
    <row r="9" spans="1:10">
      <c r="A9" s="16" t="s">
        <v>57</v>
      </c>
      <c r="B9" s="16" t="s">
        <v>58</v>
      </c>
      <c r="C9" s="17" t="s">
        <v>59</v>
      </c>
      <c r="D9" s="16" t="s">
        <v>60</v>
      </c>
      <c r="E9" s="16" t="s">
        <v>28</v>
      </c>
      <c r="F9" s="18">
        <v>44935</v>
      </c>
      <c r="G9" s="18">
        <v>35706</v>
      </c>
      <c r="H9" s="16" t="s">
        <v>61</v>
      </c>
      <c r="I9" s="16">
        <v>42000</v>
      </c>
      <c r="J9" s="16" t="str">
        <f>UPPER(Practice!$B9)</f>
        <v>ROHIT KUMAR</v>
      </c>
    </row>
    <row r="10" spans="1:10">
      <c r="A10" s="13" t="s">
        <v>62</v>
      </c>
      <c r="B10" s="13" t="s">
        <v>63</v>
      </c>
      <c r="C10" s="14" t="s">
        <v>64</v>
      </c>
      <c r="D10" s="13" t="s">
        <v>5</v>
      </c>
      <c r="E10" s="13" t="s">
        <v>51</v>
      </c>
      <c r="F10" s="15">
        <v>43996</v>
      </c>
      <c r="G10" s="15">
        <v>33374</v>
      </c>
      <c r="H10" s="13" t="s">
        <v>65</v>
      </c>
      <c r="I10" s="13">
        <v>55000</v>
      </c>
      <c r="J10" s="13" t="str">
        <f>UPPER(Practice!$B10)</f>
        <v>ANJALI SHARMA</v>
      </c>
    </row>
    <row r="11" spans="1:10">
      <c r="A11" s="16" t="s">
        <v>66</v>
      </c>
      <c r="B11" s="16" t="s">
        <v>67</v>
      </c>
      <c r="C11" s="17" t="s">
        <v>68</v>
      </c>
      <c r="D11" s="16" t="s">
        <v>3</v>
      </c>
      <c r="E11" s="16" t="s">
        <v>42</v>
      </c>
      <c r="F11" s="18">
        <v>45168</v>
      </c>
      <c r="G11" s="18">
        <v>36503</v>
      </c>
      <c r="H11" s="16" t="s">
        <v>69</v>
      </c>
      <c r="I11" s="16">
        <v>47000</v>
      </c>
      <c r="J11" s="16" t="str">
        <f>UPPER(Practice!$B11)</f>
        <v>VIKRAM SINGH</v>
      </c>
    </row>
    <row r="12" spans="1:10">
      <c r="A12" s="13" t="s">
        <v>70</v>
      </c>
      <c r="B12" s="13" t="s">
        <v>71</v>
      </c>
      <c r="C12" s="14" t="s">
        <v>72</v>
      </c>
      <c r="D12" s="13" t="s">
        <v>8</v>
      </c>
      <c r="E12" s="13" t="s">
        <v>28</v>
      </c>
      <c r="F12" s="15">
        <v>44604</v>
      </c>
      <c r="G12" s="15">
        <v>34451</v>
      </c>
      <c r="H12" s="13" t="s">
        <v>73</v>
      </c>
      <c r="I12" s="13">
        <v>46000</v>
      </c>
      <c r="J12" s="13" t="str">
        <f>UPPER(Practice!$B12)</f>
        <v>NEHA PATEL</v>
      </c>
    </row>
    <row r="13" spans="1:10">
      <c r="A13" s="16" t="s">
        <v>74</v>
      </c>
      <c r="B13" s="16" t="s">
        <v>75</v>
      </c>
      <c r="C13" s="17" t="s">
        <v>76</v>
      </c>
      <c r="D13" s="16" t="s">
        <v>6</v>
      </c>
      <c r="E13" s="16" t="s">
        <v>51</v>
      </c>
      <c r="F13" s="18">
        <v>44341</v>
      </c>
      <c r="G13" s="18">
        <v>32762</v>
      </c>
      <c r="H13" s="16" t="s">
        <v>77</v>
      </c>
      <c r="I13" s="16">
        <v>65000</v>
      </c>
      <c r="J13" s="16" t="str">
        <f>UPPER(Practice!$B13)</f>
        <v>AMIT GUPTA</v>
      </c>
    </row>
    <row r="14" spans="1:10">
      <c r="A14" s="13" t="s">
        <v>78</v>
      </c>
      <c r="B14" s="13" t="s">
        <v>79</v>
      </c>
      <c r="C14" s="14" t="s">
        <v>80</v>
      </c>
      <c r="D14" s="13" t="s">
        <v>60</v>
      </c>
      <c r="E14" s="13" t="s">
        <v>37</v>
      </c>
      <c r="F14" s="15">
        <v>45572</v>
      </c>
      <c r="G14" s="15">
        <v>36910</v>
      </c>
      <c r="H14" s="13" t="s">
        <v>81</v>
      </c>
      <c r="I14" s="13">
        <v>40000</v>
      </c>
      <c r="J14" s="13" t="str">
        <f>UPPER(Practice!$B14)</f>
        <v>POOJA NAIR</v>
      </c>
    </row>
    <row r="15" spans="1:10">
      <c r="A15" s="16" t="s">
        <v>82</v>
      </c>
      <c r="B15" s="16" t="s">
        <v>83</v>
      </c>
      <c r="C15" s="17" t="s">
        <v>84</v>
      </c>
      <c r="D15" s="16" t="s">
        <v>3</v>
      </c>
      <c r="E15" s="16" t="s">
        <v>28</v>
      </c>
      <c r="F15" s="18">
        <v>44911</v>
      </c>
      <c r="G15" s="18">
        <v>34888</v>
      </c>
      <c r="H15" s="16" t="s">
        <v>85</v>
      </c>
      <c r="I15" s="16">
        <v>58000</v>
      </c>
      <c r="J15" s="16" t="str">
        <f>UPPER(Practice!$B15)</f>
        <v>SURESH BABU</v>
      </c>
    </row>
    <row r="16" spans="1:10">
      <c r="A16" s="13" t="s">
        <v>86</v>
      </c>
      <c r="B16" s="13" t="s">
        <v>87</v>
      </c>
      <c r="C16" s="14" t="s">
        <v>88</v>
      </c>
      <c r="D16" s="13" t="s">
        <v>5</v>
      </c>
      <c r="E16" s="13" t="s">
        <v>42</v>
      </c>
      <c r="F16" s="15">
        <v>44988</v>
      </c>
      <c r="G16" s="15">
        <v>35756</v>
      </c>
      <c r="H16" s="13" t="s">
        <v>89</v>
      </c>
      <c r="I16" s="13">
        <v>43000</v>
      </c>
      <c r="J16" s="13" t="str">
        <f>UPPER(Practice!$B16)</f>
        <v>DIVYA REDDY</v>
      </c>
    </row>
    <row r="17" spans="1:10">
      <c r="A17" s="16" t="s">
        <v>90</v>
      </c>
      <c r="B17" s="16" t="s">
        <v>91</v>
      </c>
      <c r="C17" s="17" t="s">
        <v>92</v>
      </c>
      <c r="D17" s="16" t="s">
        <v>8</v>
      </c>
      <c r="E17" s="16" t="s">
        <v>51</v>
      </c>
      <c r="F17" s="18">
        <v>44001</v>
      </c>
      <c r="G17" s="18">
        <v>32919</v>
      </c>
      <c r="H17" s="16" t="s">
        <v>93</v>
      </c>
      <c r="I17" s="16">
        <v>51000</v>
      </c>
      <c r="J17" s="16" t="str">
        <f>UPPER(Practice!$B17)</f>
        <v>NAVEEN KUMAR</v>
      </c>
    </row>
    <row r="18" spans="1:10">
      <c r="A18" s="13" t="s">
        <v>94</v>
      </c>
      <c r="B18" s="13" t="s">
        <v>95</v>
      </c>
      <c r="C18" s="14" t="s">
        <v>96</v>
      </c>
      <c r="D18" s="13" t="s">
        <v>6</v>
      </c>
      <c r="E18" s="13" t="s">
        <v>28</v>
      </c>
      <c r="F18" s="15">
        <v>45319</v>
      </c>
      <c r="G18" s="15">
        <v>36072</v>
      </c>
      <c r="H18" s="13" t="s">
        <v>97</v>
      </c>
      <c r="I18" s="13">
        <v>49000</v>
      </c>
      <c r="J18" s="13" t="str">
        <f>UPPER(Practice!$B18)</f>
        <v>SWATHI RAO</v>
      </c>
    </row>
    <row r="19" spans="1:10">
      <c r="A19" s="16" t="s">
        <v>98</v>
      </c>
      <c r="B19" s="16" t="s">
        <v>99</v>
      </c>
      <c r="C19" s="17" t="s">
        <v>100</v>
      </c>
      <c r="D19" s="16" t="s">
        <v>60</v>
      </c>
      <c r="E19" s="16" t="s">
        <v>42</v>
      </c>
      <c r="F19" s="18">
        <v>44421</v>
      </c>
      <c r="G19" s="18">
        <v>34118</v>
      </c>
      <c r="H19" s="16" t="s">
        <v>101</v>
      </c>
      <c r="I19" s="16">
        <v>53000</v>
      </c>
      <c r="J19" s="16" t="str">
        <f>UPPER(Practice!$B19)</f>
        <v>RAHUL VERMA</v>
      </c>
    </row>
    <row r="20" spans="1:10">
      <c r="A20" s="3"/>
      <c r="B20" s="3"/>
      <c r="C20" s="5"/>
      <c r="D20" s="3"/>
      <c r="E20" s="3"/>
      <c r="F20" s="6"/>
      <c r="G20" s="3"/>
      <c r="H20" s="3"/>
      <c r="I20" s="3"/>
    </row>
    <row r="23" spans="1:10">
      <c r="H23">
        <f>SUM(Table2[Salary])</f>
        <v>899000</v>
      </c>
    </row>
    <row r="24" spans="1:10">
      <c r="B24" s="7" t="s">
        <v>102</v>
      </c>
    </row>
    <row r="25" spans="1:10">
      <c r="B25" s="7" t="s">
        <v>103</v>
      </c>
    </row>
    <row r="26" spans="1:10">
      <c r="B26" s="7"/>
    </row>
    <row r="27" spans="1:10">
      <c r="B27" s="7" t="s">
        <v>104</v>
      </c>
    </row>
    <row r="28" spans="1:10">
      <c r="B28" s="7" t="s">
        <v>105</v>
      </c>
    </row>
    <row r="29" spans="1:10">
      <c r="B29" s="7"/>
    </row>
    <row r="30" spans="1:10">
      <c r="B30" s="7" t="s">
        <v>106</v>
      </c>
    </row>
    <row r="31" spans="1:10">
      <c r="B31" s="7" t="s">
        <v>107</v>
      </c>
    </row>
    <row r="32" spans="1:10">
      <c r="B32" s="7"/>
    </row>
    <row r="33" spans="2:2">
      <c r="B33" s="7" t="s">
        <v>108</v>
      </c>
    </row>
    <row r="34" spans="2:2">
      <c r="B34" s="7" t="s">
        <v>109</v>
      </c>
    </row>
    <row r="35" spans="2:2">
      <c r="B35" s="7" t="s">
        <v>110</v>
      </c>
    </row>
    <row r="36" spans="2:2">
      <c r="B36" s="7" t="s">
        <v>111</v>
      </c>
    </row>
    <row r="37" spans="2:2">
      <c r="B37" s="7" t="s">
        <v>112</v>
      </c>
    </row>
    <row r="38" spans="2:2">
      <c r="B38" s="7" t="s">
        <v>113</v>
      </c>
    </row>
    <row r="39" spans="2:2">
      <c r="B39" s="7" t="s">
        <v>114</v>
      </c>
    </row>
    <row r="40" spans="2:2">
      <c r="B40" s="7" t="s">
        <v>115</v>
      </c>
    </row>
    <row r="41" spans="2:2">
      <c r="B41" s="7" t="s">
        <v>116</v>
      </c>
    </row>
    <row r="42" spans="2:2">
      <c r="B42" s="7" t="s">
        <v>117</v>
      </c>
    </row>
    <row r="43" spans="2:2">
      <c r="B43" s="7" t="s">
        <v>118</v>
      </c>
    </row>
    <row r="44" spans="2:2">
      <c r="B44" s="7" t="s">
        <v>119</v>
      </c>
    </row>
    <row r="45" spans="2:2">
      <c r="B45" s="8" t="s">
        <v>120</v>
      </c>
    </row>
    <row r="46" spans="2:2">
      <c r="B46" s="7" t="s">
        <v>121</v>
      </c>
    </row>
    <row r="47" spans="2:2">
      <c r="B47" s="8" t="s">
        <v>122</v>
      </c>
    </row>
    <row r="48" spans="2:2">
      <c r="B48" s="7" t="s">
        <v>123</v>
      </c>
    </row>
    <row r="52" spans="2:6" ht="31">
      <c r="B52" s="9" t="s">
        <v>124</v>
      </c>
    </row>
    <row r="53" spans="2:6">
      <c r="B53" s="7"/>
    </row>
    <row r="54" spans="2:6">
      <c r="B54" s="7" t="s">
        <v>125</v>
      </c>
    </row>
    <row r="55" spans="2:6">
      <c r="B55" s="7" t="s">
        <v>126</v>
      </c>
    </row>
    <row r="56" spans="2:6">
      <c r="B56" s="7" t="s">
        <v>127</v>
      </c>
    </row>
    <row r="57" spans="2:6">
      <c r="B57" s="7" t="s">
        <v>128</v>
      </c>
    </row>
    <row r="58" spans="2:6">
      <c r="B58" s="7" t="s">
        <v>129</v>
      </c>
    </row>
    <row r="59" spans="2:6">
      <c r="B59" s="7" t="s">
        <v>130</v>
      </c>
    </row>
    <row r="60" spans="2:6">
      <c r="B60" s="7" t="s">
        <v>131</v>
      </c>
    </row>
    <row r="61" spans="2:6">
      <c r="B61" s="10">
        <v>44562</v>
      </c>
    </row>
    <row r="62" spans="2:6">
      <c r="B62" s="7" t="s">
        <v>132</v>
      </c>
      <c r="F62">
        <f ca="1">DATEDIF(G2,TODAY(),"Y")</f>
        <v>31</v>
      </c>
    </row>
  </sheetData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  <tableParts count="1"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1875D-6016-4038-9F7C-CA86738273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Kancharla Shiva Shankar</cp:lastModifiedBy>
  <dcterms:created xsi:type="dcterms:W3CDTF">2026-09-10T17:11:08Z</dcterms:created>
  <dcterms:modified xsi:type="dcterms:W3CDTF">2026-09-30T09:42:20Z</dcterms:modified>
</cp:coreProperties>
</file>