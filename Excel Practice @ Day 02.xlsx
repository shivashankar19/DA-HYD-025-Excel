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32069e94ce2e00/Desktop/Excel/"/>
    </mc:Choice>
  </mc:AlternateContent>
  <xr:revisionPtr revIDLastSave="44" documentId="13_ncr:1_{25C8B36E-4B3D-47F9-A907-973C2342FFFC}" xr6:coauthVersionLast="47" xr6:coauthVersionMax="47" xr10:uidLastSave="{3AEE9B1F-279D-42ED-BEE8-39984687A046}"/>
  <bookViews>
    <workbookView xWindow="-110" yWindow="-110" windowWidth="19420" windowHeight="10300" xr2:uid="{9C0E0D5D-D44B-445C-A246-C8AA0ED14817}"/>
  </bookViews>
  <sheets>
    <sheet name="Formatting" sheetId="1" r:id="rId1"/>
    <sheet name="Sheet1" sheetId="4" r:id="rId2"/>
    <sheet name="Charts" sheetId="2" r:id="rId3"/>
    <sheet name="Function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K15" i="3"/>
  <c r="L15" i="3"/>
  <c r="I15" i="3"/>
  <c r="J14" i="3"/>
  <c r="K14" i="3"/>
  <c r="L14" i="3"/>
  <c r="I14" i="3"/>
  <c r="J13" i="3"/>
  <c r="K13" i="3"/>
  <c r="L13" i="3"/>
  <c r="I13" i="3"/>
  <c r="J12" i="3"/>
  <c r="K12" i="3"/>
  <c r="L12" i="3"/>
  <c r="I12" i="3"/>
  <c r="J11" i="3"/>
  <c r="K11" i="3"/>
  <c r="L11" i="3"/>
  <c r="I11" i="3"/>
  <c r="L10" i="3"/>
  <c r="L9" i="3"/>
  <c r="L8" i="3"/>
  <c r="L7" i="3"/>
  <c r="L6" i="3"/>
</calcChain>
</file>

<file path=xl/sharedStrings.xml><?xml version="1.0" encoding="utf-8"?>
<sst xmlns="http://schemas.openxmlformats.org/spreadsheetml/2006/main" count="301" uniqueCount="126">
  <si>
    <t>Sales above ₹50,000 are highlighted.</t>
  </si>
  <si>
    <t>Profit below ₹2,000 is highlighted.</t>
  </si>
  <si>
    <t>Pending orders are highlighted.</t>
  </si>
  <si>
    <t>Cancelled orders are highlighted.</t>
  </si>
  <si>
    <t>Duplicate customers are identified.</t>
  </si>
  <si>
    <t>Top 5 sales are highlighted.</t>
  </si>
  <si>
    <t>Sales are displayed using Data Bars.</t>
  </si>
  <si>
    <t>Profit is displayed using Color Scales.</t>
  </si>
  <si>
    <t>Quantity greater than 5 is highlighted.</t>
  </si>
  <si>
    <t>Sales Data</t>
  </si>
  <si>
    <t>Order ID</t>
  </si>
  <si>
    <t>Order Date</t>
  </si>
  <si>
    <t>Customer</t>
  </si>
  <si>
    <t>Region</t>
  </si>
  <si>
    <t>Salesperson</t>
  </si>
  <si>
    <t>Product</t>
  </si>
  <si>
    <t>Category</t>
  </si>
  <si>
    <t>Quantity</t>
  </si>
  <si>
    <t>Unit Price</t>
  </si>
  <si>
    <t>Sales</t>
  </si>
  <si>
    <t>Profit</t>
  </si>
  <si>
    <t>Payment Method</t>
  </si>
  <si>
    <t>Status</t>
  </si>
  <si>
    <t>Revenue</t>
  </si>
  <si>
    <t>ORD1001</t>
  </si>
  <si>
    <t>Rahul Sharma</t>
  </si>
  <si>
    <t>South</t>
  </si>
  <si>
    <t>Anil</t>
  </si>
  <si>
    <t>Laptop</t>
  </si>
  <si>
    <t>Electronics</t>
  </si>
  <si>
    <t>UPI</t>
  </si>
  <si>
    <t>Completed</t>
  </si>
  <si>
    <t>ORD1002</t>
  </si>
  <si>
    <t>Priya Reddy</t>
  </si>
  <si>
    <t>North</t>
  </si>
  <si>
    <t>Sneha</t>
  </si>
  <si>
    <t>Mouse</t>
  </si>
  <si>
    <t>Accessories</t>
  </si>
  <si>
    <t>Card</t>
  </si>
  <si>
    <t>ORD1003</t>
  </si>
  <si>
    <t>Arjun Kumar</t>
  </si>
  <si>
    <t>East</t>
  </si>
  <si>
    <t>Ravi</t>
  </si>
  <si>
    <t>Keyboard</t>
  </si>
  <si>
    <t>Cash</t>
  </si>
  <si>
    <t>Pending</t>
  </si>
  <si>
    <t>ORD1004</t>
  </si>
  <si>
    <t>Sneha Patel</t>
  </si>
  <si>
    <t>West</t>
  </si>
  <si>
    <t>Monitor</t>
  </si>
  <si>
    <t>ORD1005</t>
  </si>
  <si>
    <t>Vikram Singh</t>
  </si>
  <si>
    <t>Priya</t>
  </si>
  <si>
    <t>Printer</t>
  </si>
  <si>
    <t>ORD1006</t>
  </si>
  <si>
    <t>Neha Verma</t>
  </si>
  <si>
    <t>Headphones</t>
  </si>
  <si>
    <t>Cancelled</t>
  </si>
  <si>
    <t>ORD1007</t>
  </si>
  <si>
    <t>Kiran Rao</t>
  </si>
  <si>
    <t>ORD1008</t>
  </si>
  <si>
    <t>Meena Das</t>
  </si>
  <si>
    <t>ORD1009</t>
  </si>
  <si>
    <t>Rohit Mehta</t>
  </si>
  <si>
    <t>ORD1010</t>
  </si>
  <si>
    <t>Ananya Gupta</t>
  </si>
  <si>
    <t>ORD1011</t>
  </si>
  <si>
    <t>Suresh Kumar</t>
  </si>
  <si>
    <t>ORD1012</t>
  </si>
  <si>
    <t>Divya Nair</t>
  </si>
  <si>
    <t>ORD1013</t>
  </si>
  <si>
    <t>Naveen Reddy</t>
  </si>
  <si>
    <t>ORD1014</t>
  </si>
  <si>
    <t>ORD1015</t>
  </si>
  <si>
    <t>Ajay Kumar</t>
  </si>
  <si>
    <t>ORD1016</t>
  </si>
  <si>
    <t>Lakshmi Devi</t>
  </si>
  <si>
    <t>ORD1017</t>
  </si>
  <si>
    <t>Manoj Rao</t>
  </si>
  <si>
    <t>ORD1018</t>
  </si>
  <si>
    <t>Swathi Reddy</t>
  </si>
  <si>
    <t>ORD1019</t>
  </si>
  <si>
    <t>Harish Patel</t>
  </si>
  <si>
    <t>ORD1020</t>
  </si>
  <si>
    <t>Ayesha Khan</t>
  </si>
  <si>
    <t>ORD1021</t>
  </si>
  <si>
    <t>Ramesh Babu</t>
  </si>
  <si>
    <t>ORD1022</t>
  </si>
  <si>
    <t>Kavya Rao</t>
  </si>
  <si>
    <t>ORD1023</t>
  </si>
  <si>
    <t>Imran Ali</t>
  </si>
  <si>
    <t>ORD1024</t>
  </si>
  <si>
    <t>Deepak Sharma</t>
  </si>
  <si>
    <t>ORD1025</t>
  </si>
  <si>
    <t>Farah Khan</t>
  </si>
  <si>
    <t>ORD1026</t>
  </si>
  <si>
    <t>Sanjay Verma</t>
  </si>
  <si>
    <t>ORD1027</t>
  </si>
  <si>
    <t>Geetha Rao</t>
  </si>
  <si>
    <t>ORD1028</t>
  </si>
  <si>
    <t>Tarun Singh</t>
  </si>
  <si>
    <t>ORD1029</t>
  </si>
  <si>
    <t>Nisha Gupta</t>
  </si>
  <si>
    <t>ORD1030</t>
  </si>
  <si>
    <t>Varun Kumar</t>
  </si>
  <si>
    <t>ORD1031</t>
  </si>
  <si>
    <t>Monthly Expenses</t>
  </si>
  <si>
    <t>Expenses</t>
  </si>
  <si>
    <t>Jan</t>
  </si>
  <si>
    <t>Feb</t>
  </si>
  <si>
    <t>Mar</t>
  </si>
  <si>
    <t>Total</t>
  </si>
  <si>
    <t>PG Rent</t>
  </si>
  <si>
    <t>Petrol</t>
  </si>
  <si>
    <t>Gifts</t>
  </si>
  <si>
    <t>Gym</t>
  </si>
  <si>
    <t xml:space="preserve">Outing </t>
  </si>
  <si>
    <t>MIN</t>
  </si>
  <si>
    <t>MAX</t>
  </si>
  <si>
    <t>AVERAGE</t>
  </si>
  <si>
    <t>Count</t>
  </si>
  <si>
    <t>Month</t>
  </si>
  <si>
    <t>January</t>
  </si>
  <si>
    <t>February</t>
  </si>
  <si>
    <t>March</t>
  </si>
  <si>
    <r>
      <t xml:space="preserve">Orders with Sales &gt; ₹50,000 </t>
    </r>
    <r>
      <rPr>
        <b/>
        <sz val="20"/>
        <color theme="1"/>
        <rFont val="Aptos Display"/>
        <family val="2"/>
      </rPr>
      <t>AND</t>
    </r>
    <r>
      <rPr>
        <sz val="20"/>
        <color theme="1"/>
        <rFont val="Aptos Display"/>
        <family val="2"/>
      </rPr>
      <t xml:space="preserve"> Profit &gt; ₹8,000 are highlighted.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</si>
</sst>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.00"/>
    <numFmt numFmtId="165" formatCode="_-[$$-409]* #,##0.00_ ;_-[$$-409]* \-#,##0.00\ ;_-[$$-409]* &quot;-&quot;??_ ;_-@_ "/>
    <numFmt numFmtId="166" formatCode="&quot;₹&quot;\ #,##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EAEAEA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ptos Display"/>
      <family val="2"/>
    </font>
    <font>
      <sz val="20"/>
      <color theme="1"/>
      <name val="Aptos Display"/>
      <family val="2"/>
    </font>
    <font>
      <b/>
      <sz val="20"/>
      <color theme="1"/>
      <name val="Aptos Display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9B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wrapText="1"/>
    </xf>
    <xf numFmtId="17" fontId="5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15" fontId="8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/>
    <xf numFmtId="165" fontId="9" fillId="0" borderId="0" xfId="0" applyNumberFormat="1" applyFont="1"/>
    <xf numFmtId="166" fontId="8" fillId="0" borderId="0" xfId="0" applyNumberFormat="1" applyFont="1" applyAlignment="1">
      <alignment horizontal="center"/>
    </xf>
    <xf numFmtId="166" fontId="7" fillId="0" borderId="0" xfId="0" applyNumberFormat="1" applyFont="1"/>
    <xf numFmtId="43" fontId="0" fillId="0" borderId="0" xfId="1" applyFont="1" applyAlignment="1">
      <alignment horizontal="right" vertic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2">
    <cellStyle name="Comma" xfId="1" builtinId="3"/>
    <cellStyle name="Normal" xfId="0" builtinId="0"/>
  </cellStyles>
  <dxfs count="66">
    <dxf>
      <font>
        <b/>
        <i val="0"/>
        <strike/>
      </font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167344706911638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Charts!$A$2:$A$7</c:f>
              <c:strCache>
                <c:ptCount val="6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  <c:pt idx="5">
                  <c:v>Headphones</c:v>
                </c:pt>
              </c:strCache>
            </c:strRef>
          </c:cat>
          <c:val>
            <c:numRef>
              <c:f>Charts!$B$2:$B$7</c:f>
              <c:numCache>
                <c:formatCode>_(* #,##0.00_);_(* \(#,##0.00\);_(* "-"??_);_(@_)</c:formatCode>
                <c:ptCount val="6"/>
                <c:pt idx="0">
                  <c:v>453000</c:v>
                </c:pt>
                <c:pt idx="1">
                  <c:v>30200</c:v>
                </c:pt>
                <c:pt idx="2">
                  <c:v>25850</c:v>
                </c:pt>
                <c:pt idx="3">
                  <c:v>181500</c:v>
                </c:pt>
                <c:pt idx="4">
                  <c:v>149500</c:v>
                </c:pt>
                <c:pt idx="5">
                  <c:v>32300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3-42F9-B349-12065C110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0297616"/>
        <c:axId val="1241980432"/>
      </c:barChart>
      <c:catAx>
        <c:axId val="131029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80432"/>
        <c:crosses val="autoZero"/>
        <c:auto val="1"/>
        <c:lblAlgn val="ctr"/>
        <c:lblOffset val="100"/>
        <c:noMultiLvlLbl val="0"/>
      </c:catAx>
      <c:valAx>
        <c:axId val="12419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9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Charts!$A$11:$A$13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Charts!$B$11:$B$13</c:f>
              <c:numCache>
                <c:formatCode>General</c:formatCode>
                <c:ptCount val="3"/>
                <c:pt idx="0">
                  <c:v>294500</c:v>
                </c:pt>
                <c:pt idx="1">
                  <c:v>330000</c:v>
                </c:pt>
                <c:pt idx="2">
                  <c:v>370000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8-489F-B3D4-9DFC26C36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373904"/>
        <c:axId val="1241936752"/>
      </c:barChart>
      <c:catAx>
        <c:axId val="132537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36752"/>
        <c:crosses val="autoZero"/>
        <c:auto val="1"/>
        <c:lblAlgn val="ctr"/>
        <c:lblOffset val="100"/>
        <c:noMultiLvlLbl val="0"/>
      </c:catAx>
      <c:valAx>
        <c:axId val="124193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37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Charts!$A$17:$A$18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Charts!$B$17:$B$18</c:f>
              <c:numCache>
                <c:formatCode>General</c:formatCode>
                <c:ptCount val="2"/>
                <c:pt idx="0">
                  <c:v>850000</c:v>
                </c:pt>
                <c:pt idx="1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3-4FFC-9822-65360CF54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Charts!$A$22:$A$27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</c:numCache>
            </c:numRef>
          </c:xVal>
          <c:yVal>
            <c:numRef>
              <c:f>Charts!$B$22:$B$27</c:f>
              <c:numCache>
                <c:formatCode>General</c:formatCode>
                <c:ptCount val="6"/>
                <c:pt idx="0">
                  <c:v>22000</c:v>
                </c:pt>
                <c:pt idx="1">
                  <c:v>50000</c:v>
                </c:pt>
                <c:pt idx="2">
                  <c:v>60000</c:v>
                </c:pt>
                <c:pt idx="3">
                  <c:v>84000</c:v>
                </c:pt>
                <c:pt idx="4">
                  <c:v>110000</c:v>
                </c:pt>
                <c:pt idx="5">
                  <c:v>114000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25-4C03-9308-210377C7F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654448"/>
        <c:axId val="1241946352"/>
      </c:scatterChart>
      <c:valAx>
        <c:axId val="124565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46352"/>
        <c:crosses val="autoZero"/>
        <c:crossBetween val="midCat"/>
      </c:valAx>
      <c:valAx>
        <c:axId val="12419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5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422275</xdr:colOff>
      <xdr:row>0</xdr:row>
      <xdr:rowOff>101600</xdr:rowOff>
    </xdr:from>
    <xdr:to>
      <xdr:col>11</xdr:col>
      <xdr:colOff>482600</xdr:colOff>
      <xdr:row>11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86CEE7-747E-6208-E131-3630DF586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498475</xdr:colOff>
      <xdr:row>12</xdr:row>
      <xdr:rowOff>57150</xdr:rowOff>
    </xdr:from>
    <xdr:to>
      <xdr:col>11</xdr:col>
      <xdr:colOff>279400</xdr:colOff>
      <xdr:row>21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B6BB8F-2A30-F37D-9E22-E9A3666F6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590551</xdr:colOff>
      <xdr:row>12</xdr:row>
      <xdr:rowOff>50800</xdr:rowOff>
    </xdr:from>
    <xdr:to>
      <xdr:col>17</xdr:col>
      <xdr:colOff>422275</xdr:colOff>
      <xdr:row>21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A50652-DA4C-47FD-4AD0-B4559D91D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577850</xdr:colOff>
      <xdr:row>1</xdr:row>
      <xdr:rowOff>38100</xdr:rowOff>
    </xdr:from>
    <xdr:to>
      <xdr:col>18</xdr:col>
      <xdr:colOff>47624</xdr:colOff>
      <xdr:row>11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6C2C7C-FFF3-A939-C0F6-03931892C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5DC3-AEB1-4007-B4F5-216AAF06754A}">
  <dimension ref="A1:Q33"/>
  <sheetViews>
    <sheetView tabSelected="1" topLeftCell="D28" zoomScale="83" zoomScaleNormal="83" workbookViewId="0">
      <selection activeCell="N12" sqref="N12"/>
    </sheetView>
  </sheetViews>
  <sheetFormatPr defaultColWidth="8.90625" defaultRowHeight="26" x14ac:dyDescent="0.6"/>
  <cols>
    <col min="1" max="1" width="19.08984375" style="16" customWidth="1"/>
    <col min="2" max="2" width="18.54296875" style="9" customWidth="1"/>
    <col min="3" max="3" width="25.1796875" style="9" customWidth="1"/>
    <col min="4" max="4" width="12.36328125" style="9" customWidth="1"/>
    <col min="5" max="5" width="20" style="9" customWidth="1"/>
    <col min="6" max="7" width="15" style="9" customWidth="1"/>
    <col min="8" max="8" width="9" style="9" bestFit="1" customWidth="1"/>
    <col min="9" max="9" width="13.90625" style="18" bestFit="1" customWidth="1"/>
    <col min="10" max="10" width="58.90625" style="18" customWidth="1"/>
    <col min="11" max="11" width="14.81640625" style="21" customWidth="1"/>
    <col min="12" max="12" width="16.90625" style="9" customWidth="1"/>
    <col min="13" max="13" width="18.36328125" style="9" customWidth="1"/>
    <col min="14" max="14" width="17.81640625" style="18" customWidth="1"/>
    <col min="15" max="16" width="8.90625" style="9"/>
    <col min="17" max="17" width="78.08984375" style="9" customWidth="1"/>
    <col min="18" max="18" width="8.08984375" style="9" customWidth="1"/>
    <col min="19" max="19" width="8.1796875" style="9" customWidth="1"/>
    <col min="20" max="16384" width="8.90625" style="9"/>
  </cols>
  <sheetData>
    <row r="1" spans="1:17" s="13" customFormat="1" x14ac:dyDescent="0.6">
      <c r="A1" s="25" t="s">
        <v>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19"/>
    </row>
    <row r="2" spans="1:17" s="13" customFormat="1" x14ac:dyDescent="0.6">
      <c r="A2" s="14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17" t="s">
        <v>18</v>
      </c>
      <c r="J2" s="17" t="s">
        <v>19</v>
      </c>
      <c r="K2" s="20" t="s">
        <v>20</v>
      </c>
      <c r="L2" s="12" t="s">
        <v>21</v>
      </c>
      <c r="M2" s="12" t="s">
        <v>22</v>
      </c>
      <c r="N2" s="17" t="s">
        <v>23</v>
      </c>
    </row>
    <row r="3" spans="1:17" s="13" customFormat="1" x14ac:dyDescent="0.6">
      <c r="A3" s="14" t="s">
        <v>24</v>
      </c>
      <c r="B3" s="15">
        <v>46027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>
        <v>2</v>
      </c>
      <c r="I3" s="17">
        <v>55000</v>
      </c>
      <c r="J3" s="17">
        <v>110000</v>
      </c>
      <c r="K3" s="20">
        <v>18000</v>
      </c>
      <c r="L3" s="12" t="s">
        <v>30</v>
      </c>
      <c r="M3" s="12" t="s">
        <v>31</v>
      </c>
      <c r="N3" s="17">
        <v>220000</v>
      </c>
    </row>
    <row r="4" spans="1:17" s="13" customFormat="1" x14ac:dyDescent="0.6">
      <c r="A4" s="14" t="s">
        <v>32</v>
      </c>
      <c r="B4" s="15">
        <v>46029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>
        <v>5</v>
      </c>
      <c r="I4" s="17">
        <v>800</v>
      </c>
      <c r="J4" s="17">
        <v>4000</v>
      </c>
      <c r="K4" s="20">
        <v>1200</v>
      </c>
      <c r="L4" s="12" t="s">
        <v>38</v>
      </c>
      <c r="M4" s="12" t="s">
        <v>31</v>
      </c>
      <c r="N4" s="17">
        <v>20000</v>
      </c>
    </row>
    <row r="5" spans="1:17" s="13" customFormat="1" x14ac:dyDescent="0.6">
      <c r="A5" s="14" t="s">
        <v>39</v>
      </c>
      <c r="B5" s="15">
        <v>46032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37</v>
      </c>
      <c r="H5" s="12">
        <v>3</v>
      </c>
      <c r="I5" s="17">
        <v>1500</v>
      </c>
      <c r="J5" s="17">
        <v>4500</v>
      </c>
      <c r="K5" s="20">
        <v>900</v>
      </c>
      <c r="L5" s="12" t="s">
        <v>44</v>
      </c>
      <c r="M5" s="12" t="s">
        <v>45</v>
      </c>
      <c r="N5" s="17">
        <v>13500</v>
      </c>
    </row>
    <row r="6" spans="1:17" s="13" customFormat="1" x14ac:dyDescent="0.6">
      <c r="A6" s="14" t="s">
        <v>46</v>
      </c>
      <c r="B6" s="15">
        <v>46034</v>
      </c>
      <c r="C6" s="12" t="s">
        <v>47</v>
      </c>
      <c r="D6" s="12" t="s">
        <v>48</v>
      </c>
      <c r="E6" s="12" t="s">
        <v>27</v>
      </c>
      <c r="F6" s="12" t="s">
        <v>49</v>
      </c>
      <c r="G6" s="12" t="s">
        <v>29</v>
      </c>
      <c r="H6" s="12">
        <v>2</v>
      </c>
      <c r="I6" s="17">
        <v>18000</v>
      </c>
      <c r="J6" s="17">
        <v>36000</v>
      </c>
      <c r="K6" s="20">
        <v>6000</v>
      </c>
      <c r="L6" s="12" t="s">
        <v>38</v>
      </c>
      <c r="M6" s="12" t="s">
        <v>31</v>
      </c>
      <c r="N6" s="17">
        <v>72000</v>
      </c>
      <c r="Q6" s="13" t="s">
        <v>0</v>
      </c>
    </row>
    <row r="7" spans="1:17" s="13" customFormat="1" x14ac:dyDescent="0.6">
      <c r="A7" s="14" t="s">
        <v>50</v>
      </c>
      <c r="B7" s="15">
        <v>46037</v>
      </c>
      <c r="C7" s="12" t="s">
        <v>51</v>
      </c>
      <c r="D7" s="12" t="s">
        <v>26</v>
      </c>
      <c r="E7" s="12" t="s">
        <v>52</v>
      </c>
      <c r="F7" s="12" t="s">
        <v>53</v>
      </c>
      <c r="G7" s="12" t="s">
        <v>29</v>
      </c>
      <c r="H7" s="12">
        <v>1</v>
      </c>
      <c r="I7" s="17">
        <v>22000</v>
      </c>
      <c r="J7" s="17">
        <v>22000</v>
      </c>
      <c r="K7" s="20">
        <v>3500</v>
      </c>
      <c r="L7" s="12" t="s">
        <v>30</v>
      </c>
      <c r="M7" s="12" t="s">
        <v>31</v>
      </c>
      <c r="N7" s="17">
        <v>22000</v>
      </c>
      <c r="Q7" s="13" t="s">
        <v>1</v>
      </c>
    </row>
    <row r="8" spans="1:17" s="13" customFormat="1" x14ac:dyDescent="0.6">
      <c r="A8" s="14" t="s">
        <v>54</v>
      </c>
      <c r="B8" s="15">
        <v>46040</v>
      </c>
      <c r="C8" s="12" t="s">
        <v>55</v>
      </c>
      <c r="D8" s="12" t="s">
        <v>34</v>
      </c>
      <c r="E8" s="12" t="s">
        <v>42</v>
      </c>
      <c r="F8" s="12" t="s">
        <v>56</v>
      </c>
      <c r="G8" s="12" t="s">
        <v>37</v>
      </c>
      <c r="H8" s="12">
        <v>4</v>
      </c>
      <c r="I8" s="17">
        <v>2500</v>
      </c>
      <c r="J8" s="17">
        <v>10000</v>
      </c>
      <c r="K8" s="20">
        <v>2800</v>
      </c>
      <c r="L8" s="12" t="s">
        <v>30</v>
      </c>
      <c r="M8" s="12" t="s">
        <v>57</v>
      </c>
      <c r="N8" s="17">
        <v>40000</v>
      </c>
      <c r="Q8" s="13" t="s">
        <v>2</v>
      </c>
    </row>
    <row r="9" spans="1:17" s="13" customFormat="1" x14ac:dyDescent="0.6">
      <c r="A9" s="14" t="s">
        <v>58</v>
      </c>
      <c r="B9" s="15">
        <v>46042</v>
      </c>
      <c r="C9" s="12" t="s">
        <v>59</v>
      </c>
      <c r="D9" s="12" t="s">
        <v>41</v>
      </c>
      <c r="E9" s="12" t="s">
        <v>35</v>
      </c>
      <c r="F9" s="12" t="s">
        <v>28</v>
      </c>
      <c r="G9" s="12" t="s">
        <v>29</v>
      </c>
      <c r="H9" s="12">
        <v>1</v>
      </c>
      <c r="I9" s="17">
        <v>60000</v>
      </c>
      <c r="J9" s="17">
        <v>60000</v>
      </c>
      <c r="K9" s="20">
        <v>9500</v>
      </c>
      <c r="L9" s="12" t="s">
        <v>38</v>
      </c>
      <c r="M9" s="12" t="s">
        <v>31</v>
      </c>
      <c r="N9" s="17">
        <v>60000</v>
      </c>
      <c r="Q9" s="13" t="s">
        <v>3</v>
      </c>
    </row>
    <row r="10" spans="1:17" s="13" customFormat="1" x14ac:dyDescent="0.6">
      <c r="A10" s="14" t="s">
        <v>60</v>
      </c>
      <c r="B10" s="15">
        <v>46044</v>
      </c>
      <c r="C10" s="12" t="s">
        <v>61</v>
      </c>
      <c r="D10" s="12" t="s">
        <v>48</v>
      </c>
      <c r="E10" s="12" t="s">
        <v>52</v>
      </c>
      <c r="F10" s="12" t="s">
        <v>43</v>
      </c>
      <c r="G10" s="12" t="s">
        <v>37</v>
      </c>
      <c r="H10" s="12">
        <v>6</v>
      </c>
      <c r="I10" s="17">
        <v>1400</v>
      </c>
      <c r="J10" s="17">
        <v>8400</v>
      </c>
      <c r="K10" s="20">
        <v>1800</v>
      </c>
      <c r="L10" s="12" t="s">
        <v>44</v>
      </c>
      <c r="M10" s="12" t="s">
        <v>31</v>
      </c>
      <c r="N10" s="17">
        <v>50400</v>
      </c>
      <c r="Q10" s="13" t="s">
        <v>4</v>
      </c>
    </row>
    <row r="11" spans="1:17" s="13" customFormat="1" x14ac:dyDescent="0.6">
      <c r="A11" s="14" t="s">
        <v>62</v>
      </c>
      <c r="B11" s="15">
        <v>46047</v>
      </c>
      <c r="C11" s="12" t="s">
        <v>63</v>
      </c>
      <c r="D11" s="12" t="s">
        <v>26</v>
      </c>
      <c r="E11" s="12" t="s">
        <v>27</v>
      </c>
      <c r="F11" s="12" t="s">
        <v>49</v>
      </c>
      <c r="G11" s="12" t="s">
        <v>29</v>
      </c>
      <c r="H11" s="12">
        <v>3</v>
      </c>
      <c r="I11" s="17">
        <v>17500</v>
      </c>
      <c r="J11" s="17">
        <v>52500</v>
      </c>
      <c r="K11" s="20">
        <v>8500</v>
      </c>
      <c r="L11" s="12" t="s">
        <v>38</v>
      </c>
      <c r="M11" s="12" t="s">
        <v>45</v>
      </c>
      <c r="N11" s="17">
        <v>157500</v>
      </c>
      <c r="Q11" s="13" t="s">
        <v>5</v>
      </c>
    </row>
    <row r="12" spans="1:17" s="13" customFormat="1" x14ac:dyDescent="0.6">
      <c r="A12" s="14" t="s">
        <v>64</v>
      </c>
      <c r="B12" s="15">
        <v>46050</v>
      </c>
      <c r="C12" s="12" t="s">
        <v>65</v>
      </c>
      <c r="D12" s="12" t="s">
        <v>34</v>
      </c>
      <c r="E12" s="12" t="s">
        <v>42</v>
      </c>
      <c r="F12" s="12" t="s">
        <v>36</v>
      </c>
      <c r="G12" s="12" t="s">
        <v>37</v>
      </c>
      <c r="H12" s="12">
        <v>10</v>
      </c>
      <c r="I12" s="17">
        <v>750</v>
      </c>
      <c r="J12" s="17">
        <v>7500</v>
      </c>
      <c r="K12" s="20">
        <v>2200</v>
      </c>
      <c r="L12" s="12" t="s">
        <v>30</v>
      </c>
      <c r="M12" s="12" t="s">
        <v>31</v>
      </c>
      <c r="N12" s="17">
        <v>75000</v>
      </c>
      <c r="Q12" s="13" t="s">
        <v>6</v>
      </c>
    </row>
    <row r="13" spans="1:17" s="13" customFormat="1" x14ac:dyDescent="0.6">
      <c r="A13" s="14" t="s">
        <v>66</v>
      </c>
      <c r="B13" s="15">
        <v>46055</v>
      </c>
      <c r="C13" s="12" t="s">
        <v>67</v>
      </c>
      <c r="D13" s="12" t="s">
        <v>41</v>
      </c>
      <c r="E13" s="12" t="s">
        <v>35</v>
      </c>
      <c r="F13" s="12" t="s">
        <v>53</v>
      </c>
      <c r="G13" s="12" t="s">
        <v>29</v>
      </c>
      <c r="H13" s="12">
        <v>2</v>
      </c>
      <c r="I13" s="17">
        <v>21000</v>
      </c>
      <c r="J13" s="17">
        <v>42000</v>
      </c>
      <c r="K13" s="20">
        <v>7000</v>
      </c>
      <c r="L13" s="12" t="s">
        <v>38</v>
      </c>
      <c r="M13" s="12" t="s">
        <v>31</v>
      </c>
      <c r="N13" s="17">
        <v>84000</v>
      </c>
      <c r="Q13" s="13" t="s">
        <v>7</v>
      </c>
    </row>
    <row r="14" spans="1:17" s="13" customFormat="1" x14ac:dyDescent="0.6">
      <c r="A14" s="14" t="s">
        <v>68</v>
      </c>
      <c r="B14" s="15">
        <v>46058</v>
      </c>
      <c r="C14" s="12" t="s">
        <v>69</v>
      </c>
      <c r="D14" s="12" t="s">
        <v>48</v>
      </c>
      <c r="E14" s="12" t="s">
        <v>52</v>
      </c>
      <c r="F14" s="12" t="s">
        <v>28</v>
      </c>
      <c r="G14" s="12" t="s">
        <v>29</v>
      </c>
      <c r="H14" s="12">
        <v>1</v>
      </c>
      <c r="I14" s="17">
        <v>58000</v>
      </c>
      <c r="J14" s="17">
        <v>58000</v>
      </c>
      <c r="K14" s="20">
        <v>9000</v>
      </c>
      <c r="L14" s="12" t="s">
        <v>30</v>
      </c>
      <c r="M14" s="12" t="s">
        <v>31</v>
      </c>
      <c r="N14" s="17">
        <v>58000</v>
      </c>
      <c r="Q14" s="13" t="s">
        <v>8</v>
      </c>
    </row>
    <row r="15" spans="1:17" s="13" customFormat="1" x14ac:dyDescent="0.6">
      <c r="A15" s="14" t="s">
        <v>70</v>
      </c>
      <c r="B15" s="15">
        <v>46061</v>
      </c>
      <c r="C15" s="12" t="s">
        <v>71</v>
      </c>
      <c r="D15" s="12" t="s">
        <v>26</v>
      </c>
      <c r="E15" s="12" t="s">
        <v>27</v>
      </c>
      <c r="F15" s="12" t="s">
        <v>56</v>
      </c>
      <c r="G15" s="12" t="s">
        <v>37</v>
      </c>
      <c r="H15" s="12">
        <v>3</v>
      </c>
      <c r="I15" s="17">
        <v>2800</v>
      </c>
      <c r="J15" s="17">
        <v>8400</v>
      </c>
      <c r="K15" s="20">
        <v>2400</v>
      </c>
      <c r="L15" s="12" t="s">
        <v>44</v>
      </c>
      <c r="M15" s="12" t="s">
        <v>45</v>
      </c>
      <c r="N15" s="17">
        <v>25200</v>
      </c>
      <c r="Q15" s="13" t="s">
        <v>125</v>
      </c>
    </row>
    <row r="16" spans="1:17" s="13" customFormat="1" x14ac:dyDescent="0.6">
      <c r="A16" s="14" t="s">
        <v>72</v>
      </c>
      <c r="B16" s="15">
        <v>46064</v>
      </c>
      <c r="C16" s="12" t="s">
        <v>55</v>
      </c>
      <c r="D16" s="12" t="s">
        <v>34</v>
      </c>
      <c r="E16" s="12" t="s">
        <v>42</v>
      </c>
      <c r="F16" s="12" t="s">
        <v>49</v>
      </c>
      <c r="G16" s="12" t="s">
        <v>29</v>
      </c>
      <c r="H16" s="12">
        <v>1</v>
      </c>
      <c r="I16" s="17">
        <v>19000</v>
      </c>
      <c r="J16" s="17">
        <v>19000</v>
      </c>
      <c r="K16" s="20">
        <v>3200</v>
      </c>
      <c r="L16" s="12" t="s">
        <v>38</v>
      </c>
      <c r="M16" s="12" t="s">
        <v>31</v>
      </c>
      <c r="N16" s="17">
        <v>19000</v>
      </c>
    </row>
    <row r="17" spans="1:14" s="13" customFormat="1" x14ac:dyDescent="0.6">
      <c r="A17" s="14" t="s">
        <v>73</v>
      </c>
      <c r="B17" s="15">
        <v>46067</v>
      </c>
      <c r="C17" s="12" t="s">
        <v>74</v>
      </c>
      <c r="D17" s="12" t="s">
        <v>41</v>
      </c>
      <c r="E17" s="12" t="s">
        <v>35</v>
      </c>
      <c r="F17" s="12" t="s">
        <v>36</v>
      </c>
      <c r="G17" s="12" t="s">
        <v>37</v>
      </c>
      <c r="H17" s="12">
        <v>8</v>
      </c>
      <c r="I17" s="17">
        <v>850</v>
      </c>
      <c r="J17" s="17">
        <v>6800</v>
      </c>
      <c r="K17" s="20">
        <v>2000</v>
      </c>
      <c r="L17" s="12" t="s">
        <v>30</v>
      </c>
      <c r="M17" s="12" t="s">
        <v>57</v>
      </c>
      <c r="N17" s="17">
        <v>54400</v>
      </c>
    </row>
    <row r="18" spans="1:14" s="13" customFormat="1" x14ac:dyDescent="0.6">
      <c r="A18" s="14" t="s">
        <v>75</v>
      </c>
      <c r="B18" s="15">
        <v>46071</v>
      </c>
      <c r="C18" s="12" t="s">
        <v>76</v>
      </c>
      <c r="D18" s="12" t="s">
        <v>48</v>
      </c>
      <c r="E18" s="12" t="s">
        <v>52</v>
      </c>
      <c r="F18" s="12" t="s">
        <v>53</v>
      </c>
      <c r="G18" s="12" t="s">
        <v>29</v>
      </c>
      <c r="H18" s="12">
        <v>1</v>
      </c>
      <c r="I18" s="17">
        <v>23000</v>
      </c>
      <c r="J18" s="17">
        <v>23000</v>
      </c>
      <c r="K18" s="20">
        <v>4000</v>
      </c>
      <c r="L18" s="12" t="s">
        <v>38</v>
      </c>
      <c r="M18" s="12" t="s">
        <v>31</v>
      </c>
      <c r="N18" s="17">
        <v>23000</v>
      </c>
    </row>
    <row r="19" spans="1:14" s="13" customFormat="1" x14ac:dyDescent="0.6">
      <c r="A19" s="14" t="s">
        <v>77</v>
      </c>
      <c r="B19" s="15">
        <v>46074</v>
      </c>
      <c r="C19" s="12" t="s">
        <v>78</v>
      </c>
      <c r="D19" s="12" t="s">
        <v>26</v>
      </c>
      <c r="E19" s="12" t="s">
        <v>27</v>
      </c>
      <c r="F19" s="12" t="s">
        <v>43</v>
      </c>
      <c r="G19" s="12" t="s">
        <v>37</v>
      </c>
      <c r="H19" s="12">
        <v>4</v>
      </c>
      <c r="I19" s="17">
        <v>1600</v>
      </c>
      <c r="J19" s="17">
        <v>6400</v>
      </c>
      <c r="K19" s="20">
        <v>1400</v>
      </c>
      <c r="L19" s="12" t="s">
        <v>30</v>
      </c>
      <c r="M19" s="12" t="s">
        <v>31</v>
      </c>
      <c r="N19" s="17">
        <v>25600</v>
      </c>
    </row>
    <row r="20" spans="1:14" s="13" customFormat="1" x14ac:dyDescent="0.6">
      <c r="A20" s="14" t="s">
        <v>79</v>
      </c>
      <c r="B20" s="15">
        <v>46077</v>
      </c>
      <c r="C20" s="12" t="s">
        <v>80</v>
      </c>
      <c r="D20" s="12" t="s">
        <v>34</v>
      </c>
      <c r="E20" s="12" t="s">
        <v>42</v>
      </c>
      <c r="F20" s="12" t="s">
        <v>28</v>
      </c>
      <c r="G20" s="12" t="s">
        <v>29</v>
      </c>
      <c r="H20" s="12">
        <v>2</v>
      </c>
      <c r="I20" s="17">
        <v>57000</v>
      </c>
      <c r="J20" s="17">
        <v>114000</v>
      </c>
      <c r="K20" s="20">
        <v>19000</v>
      </c>
      <c r="L20" s="12" t="s">
        <v>38</v>
      </c>
      <c r="M20" s="12" t="s">
        <v>31</v>
      </c>
      <c r="N20" s="17">
        <v>228000</v>
      </c>
    </row>
    <row r="21" spans="1:14" s="13" customFormat="1" x14ac:dyDescent="0.6">
      <c r="A21" s="14" t="s">
        <v>81</v>
      </c>
      <c r="B21" s="15">
        <v>46080</v>
      </c>
      <c r="C21" s="12" t="s">
        <v>82</v>
      </c>
      <c r="D21" s="12" t="s">
        <v>41</v>
      </c>
      <c r="E21" s="12" t="s">
        <v>35</v>
      </c>
      <c r="F21" s="12" t="s">
        <v>56</v>
      </c>
      <c r="G21" s="12" t="s">
        <v>37</v>
      </c>
      <c r="H21" s="12">
        <v>5</v>
      </c>
      <c r="I21" s="17">
        <v>2700</v>
      </c>
      <c r="J21" s="17">
        <v>13500</v>
      </c>
      <c r="K21" s="20">
        <v>4000</v>
      </c>
      <c r="L21" s="12" t="s">
        <v>44</v>
      </c>
      <c r="M21" s="12" t="s">
        <v>45</v>
      </c>
      <c r="N21" s="17">
        <v>67500</v>
      </c>
    </row>
    <row r="22" spans="1:14" s="13" customFormat="1" x14ac:dyDescent="0.6">
      <c r="A22" s="14" t="s">
        <v>83</v>
      </c>
      <c r="B22" s="15">
        <v>46083</v>
      </c>
      <c r="C22" s="12" t="s">
        <v>84</v>
      </c>
      <c r="D22" s="12" t="s">
        <v>48</v>
      </c>
      <c r="E22" s="12" t="s">
        <v>52</v>
      </c>
      <c r="F22" s="12" t="s">
        <v>49</v>
      </c>
      <c r="G22" s="12" t="s">
        <v>29</v>
      </c>
      <c r="H22" s="12">
        <v>2</v>
      </c>
      <c r="I22" s="17">
        <v>18500</v>
      </c>
      <c r="J22" s="17">
        <v>37000</v>
      </c>
      <c r="K22" s="20">
        <v>6200</v>
      </c>
      <c r="L22" s="12" t="s">
        <v>30</v>
      </c>
      <c r="M22" s="12" t="s">
        <v>31</v>
      </c>
      <c r="N22" s="17">
        <v>74000</v>
      </c>
    </row>
    <row r="23" spans="1:14" s="13" customFormat="1" x14ac:dyDescent="0.6">
      <c r="A23" s="14" t="s">
        <v>85</v>
      </c>
      <c r="B23" s="15">
        <v>46086</v>
      </c>
      <c r="C23" s="12" t="s">
        <v>86</v>
      </c>
      <c r="D23" s="12" t="s">
        <v>26</v>
      </c>
      <c r="E23" s="12" t="s">
        <v>27</v>
      </c>
      <c r="F23" s="12" t="s">
        <v>53</v>
      </c>
      <c r="G23" s="12" t="s">
        <v>29</v>
      </c>
      <c r="H23" s="12">
        <v>2</v>
      </c>
      <c r="I23" s="17">
        <v>21500</v>
      </c>
      <c r="J23" s="17">
        <v>43000</v>
      </c>
      <c r="K23" s="20">
        <v>7200</v>
      </c>
      <c r="L23" s="12" t="s">
        <v>38</v>
      </c>
      <c r="M23" s="12" t="s">
        <v>31</v>
      </c>
      <c r="N23" s="17">
        <v>86000</v>
      </c>
    </row>
    <row r="24" spans="1:14" s="13" customFormat="1" x14ac:dyDescent="0.6">
      <c r="A24" s="14" t="s">
        <v>87</v>
      </c>
      <c r="B24" s="15">
        <v>46089</v>
      </c>
      <c r="C24" s="12" t="s">
        <v>88</v>
      </c>
      <c r="D24" s="12" t="s">
        <v>34</v>
      </c>
      <c r="E24" s="12" t="s">
        <v>42</v>
      </c>
      <c r="F24" s="12" t="s">
        <v>36</v>
      </c>
      <c r="G24" s="12" t="s">
        <v>37</v>
      </c>
      <c r="H24" s="12">
        <v>12</v>
      </c>
      <c r="I24" s="17">
        <v>780</v>
      </c>
      <c r="J24" s="17">
        <v>9360</v>
      </c>
      <c r="K24" s="20">
        <v>2600</v>
      </c>
      <c r="L24" s="12" t="s">
        <v>30</v>
      </c>
      <c r="M24" s="12" t="s">
        <v>31</v>
      </c>
      <c r="N24" s="17">
        <v>112320</v>
      </c>
    </row>
    <row r="25" spans="1:14" s="13" customFormat="1" x14ac:dyDescent="0.6">
      <c r="A25" s="14" t="s">
        <v>89</v>
      </c>
      <c r="B25" s="15">
        <v>46093</v>
      </c>
      <c r="C25" s="12" t="s">
        <v>90</v>
      </c>
      <c r="D25" s="12" t="s">
        <v>41</v>
      </c>
      <c r="E25" s="12" t="s">
        <v>35</v>
      </c>
      <c r="F25" s="12" t="s">
        <v>28</v>
      </c>
      <c r="G25" s="12" t="s">
        <v>29</v>
      </c>
      <c r="H25" s="12">
        <v>1</v>
      </c>
      <c r="I25" s="17">
        <v>62000</v>
      </c>
      <c r="J25" s="17">
        <v>62000</v>
      </c>
      <c r="K25" s="20">
        <v>10000</v>
      </c>
      <c r="L25" s="12" t="s">
        <v>38</v>
      </c>
      <c r="M25" s="12" t="s">
        <v>45</v>
      </c>
      <c r="N25" s="17">
        <v>62000</v>
      </c>
    </row>
    <row r="26" spans="1:14" s="13" customFormat="1" x14ac:dyDescent="0.6">
      <c r="A26" s="14" t="s">
        <v>91</v>
      </c>
      <c r="B26" s="15">
        <v>46096</v>
      </c>
      <c r="C26" s="12" t="s">
        <v>92</v>
      </c>
      <c r="D26" s="12" t="s">
        <v>48</v>
      </c>
      <c r="E26" s="12" t="s">
        <v>52</v>
      </c>
      <c r="F26" s="12" t="s">
        <v>43</v>
      </c>
      <c r="G26" s="12" t="s">
        <v>37</v>
      </c>
      <c r="H26" s="12">
        <v>7</v>
      </c>
      <c r="I26" s="17">
        <v>1450</v>
      </c>
      <c r="J26" s="17">
        <v>10150</v>
      </c>
      <c r="K26" s="20">
        <v>2300</v>
      </c>
      <c r="L26" s="12" t="s">
        <v>44</v>
      </c>
      <c r="M26" s="12" t="s">
        <v>31</v>
      </c>
      <c r="N26" s="17">
        <v>71050</v>
      </c>
    </row>
    <row r="27" spans="1:14" s="13" customFormat="1" x14ac:dyDescent="0.6">
      <c r="A27" s="14" t="s">
        <v>93</v>
      </c>
      <c r="B27" s="15">
        <v>46099</v>
      </c>
      <c r="C27" s="12" t="s">
        <v>94</v>
      </c>
      <c r="D27" s="12" t="s">
        <v>26</v>
      </c>
      <c r="E27" s="12" t="s">
        <v>27</v>
      </c>
      <c r="F27" s="12" t="s">
        <v>49</v>
      </c>
      <c r="G27" s="12" t="s">
        <v>29</v>
      </c>
      <c r="H27" s="12">
        <v>1</v>
      </c>
      <c r="I27" s="17">
        <v>18000</v>
      </c>
      <c r="J27" s="17">
        <v>18000</v>
      </c>
      <c r="K27" s="20">
        <v>3000</v>
      </c>
      <c r="L27" s="12" t="s">
        <v>30</v>
      </c>
      <c r="M27" s="12" t="s">
        <v>57</v>
      </c>
      <c r="N27" s="17">
        <v>18000</v>
      </c>
    </row>
    <row r="28" spans="1:14" s="13" customFormat="1" x14ac:dyDescent="0.6">
      <c r="A28" s="14" t="s">
        <v>95</v>
      </c>
      <c r="B28" s="15">
        <v>46102</v>
      </c>
      <c r="C28" s="12" t="s">
        <v>96</v>
      </c>
      <c r="D28" s="12" t="s">
        <v>34</v>
      </c>
      <c r="E28" s="12" t="s">
        <v>42</v>
      </c>
      <c r="F28" s="12" t="s">
        <v>53</v>
      </c>
      <c r="G28" s="12" t="s">
        <v>29</v>
      </c>
      <c r="H28" s="12">
        <v>3</v>
      </c>
      <c r="I28" s="17">
        <v>20500</v>
      </c>
      <c r="J28" s="17">
        <v>61500</v>
      </c>
      <c r="K28" s="20">
        <v>10500</v>
      </c>
      <c r="L28" s="12" t="s">
        <v>38</v>
      </c>
      <c r="M28" s="12" t="s">
        <v>31</v>
      </c>
      <c r="N28" s="17">
        <v>184500</v>
      </c>
    </row>
    <row r="29" spans="1:14" s="13" customFormat="1" x14ac:dyDescent="0.6">
      <c r="A29" s="14" t="s">
        <v>97</v>
      </c>
      <c r="B29" s="15">
        <v>46105</v>
      </c>
      <c r="C29" s="12" t="s">
        <v>98</v>
      </c>
      <c r="D29" s="12" t="s">
        <v>41</v>
      </c>
      <c r="E29" s="12" t="s">
        <v>35</v>
      </c>
      <c r="F29" s="12" t="s">
        <v>36</v>
      </c>
      <c r="G29" s="12" t="s">
        <v>37</v>
      </c>
      <c r="H29" s="12">
        <v>6</v>
      </c>
      <c r="I29" s="17">
        <v>820</v>
      </c>
      <c r="J29" s="17">
        <v>4920</v>
      </c>
      <c r="K29" s="20">
        <v>1500</v>
      </c>
      <c r="L29" s="12" t="s">
        <v>30</v>
      </c>
      <c r="M29" s="12" t="s">
        <v>31</v>
      </c>
      <c r="N29" s="17">
        <v>29520</v>
      </c>
    </row>
    <row r="30" spans="1:14" s="13" customFormat="1" x14ac:dyDescent="0.6">
      <c r="A30" s="14" t="s">
        <v>99</v>
      </c>
      <c r="B30" s="15">
        <v>46108</v>
      </c>
      <c r="C30" s="12" t="s">
        <v>100</v>
      </c>
      <c r="D30" s="12" t="s">
        <v>48</v>
      </c>
      <c r="E30" s="12" t="s">
        <v>52</v>
      </c>
      <c r="F30" s="12" t="s">
        <v>28</v>
      </c>
      <c r="G30" s="12" t="s">
        <v>29</v>
      </c>
      <c r="H30" s="12">
        <v>1</v>
      </c>
      <c r="I30" s="17">
        <v>59000</v>
      </c>
      <c r="J30" s="17">
        <v>59000</v>
      </c>
      <c r="K30" s="20">
        <v>9500</v>
      </c>
      <c r="L30" s="12" t="s">
        <v>38</v>
      </c>
      <c r="M30" s="12" t="s">
        <v>31</v>
      </c>
      <c r="N30" s="17">
        <v>59000</v>
      </c>
    </row>
    <row r="31" spans="1:14" s="13" customFormat="1" x14ac:dyDescent="0.6">
      <c r="A31" s="14" t="s">
        <v>101</v>
      </c>
      <c r="B31" s="15">
        <v>46110</v>
      </c>
      <c r="C31" s="12" t="s">
        <v>102</v>
      </c>
      <c r="D31" s="12" t="s">
        <v>26</v>
      </c>
      <c r="E31" s="12" t="s">
        <v>27</v>
      </c>
      <c r="F31" s="12" t="s">
        <v>56</v>
      </c>
      <c r="G31" s="12" t="s">
        <v>37</v>
      </c>
      <c r="H31" s="12">
        <v>4</v>
      </c>
      <c r="I31" s="17">
        <v>2600</v>
      </c>
      <c r="J31" s="17">
        <v>10400</v>
      </c>
      <c r="K31" s="20">
        <v>3000</v>
      </c>
      <c r="L31" s="12" t="s">
        <v>44</v>
      </c>
      <c r="M31" s="12" t="s">
        <v>45</v>
      </c>
      <c r="N31" s="17">
        <v>41600</v>
      </c>
    </row>
    <row r="32" spans="1:14" s="13" customFormat="1" x14ac:dyDescent="0.6">
      <c r="A32" s="14" t="s">
        <v>103</v>
      </c>
      <c r="B32" s="15">
        <v>46112</v>
      </c>
      <c r="C32" s="12" t="s">
        <v>104</v>
      </c>
      <c r="D32" s="12" t="s">
        <v>34</v>
      </c>
      <c r="E32" s="12" t="s">
        <v>42</v>
      </c>
      <c r="F32" s="12" t="s">
        <v>49</v>
      </c>
      <c r="G32" s="12" t="s">
        <v>29</v>
      </c>
      <c r="H32" s="12">
        <v>2</v>
      </c>
      <c r="I32" s="17">
        <v>18500</v>
      </c>
      <c r="J32" s="17">
        <v>37000</v>
      </c>
      <c r="K32" s="20">
        <v>6500</v>
      </c>
      <c r="L32" s="12" t="s">
        <v>30</v>
      </c>
      <c r="M32" s="12" t="s">
        <v>31</v>
      </c>
      <c r="N32" s="17">
        <v>74000</v>
      </c>
    </row>
    <row r="33" spans="1:14" s="13" customFormat="1" x14ac:dyDescent="0.6">
      <c r="A33" s="14" t="s">
        <v>105</v>
      </c>
      <c r="B33" s="15"/>
      <c r="C33" s="12"/>
      <c r="D33" s="12"/>
      <c r="E33" s="12"/>
      <c r="F33" s="12"/>
      <c r="G33" s="12"/>
      <c r="H33" s="12"/>
      <c r="I33" s="17"/>
      <c r="J33" s="17"/>
      <c r="K33" s="20"/>
      <c r="L33" s="12"/>
      <c r="M33" s="12"/>
      <c r="N33" s="17">
        <v>0</v>
      </c>
    </row>
  </sheetData>
  <mergeCells count="1">
    <mergeCell ref="A1:N1"/>
  </mergeCells>
  <conditionalFormatting sqref="M5">
    <cfRule type="cellIs" dxfId="22" priority="18" operator="greaterThan">
      <formula>$J$2&gt;50000</formula>
    </cfRule>
  </conditionalFormatting>
  <conditionalFormatting sqref="J3:J32">
    <cfRule type="cellIs" dxfId="21" priority="16" operator="greaterThan">
      <formula>50000</formula>
    </cfRule>
    <cfRule type="top10" priority="11" rank="5"/>
    <cfRule type="top10" priority="10" rank="3"/>
    <cfRule type="top10" priority="9" rank="3"/>
    <cfRule type="top10" priority="8" rank="3"/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{ADD0789F-BE9E-4C13-972A-DC5BE7D1791B}</x14:id>
        </ext>
      </extLst>
    </cfRule>
    <cfRule type="top10" priority="6" rank="5"/>
  </conditionalFormatting>
  <conditionalFormatting sqref="K3:K32">
    <cfRule type="cellIs" dxfId="20" priority="15" operator="lessThan">
      <formula>2000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ntainsText" dxfId="19" priority="14" operator="containsText" text="Pending">
      <formula>NOT(ISERROR(SEARCH("Pending",M3)))</formula>
    </cfRule>
    <cfRule type="containsText" dxfId="18" priority="13" operator="containsText" text="Cancelled">
      <formula>NOT(ISERROR(SEARCH("Cancelled",M3)))</formula>
    </cfRule>
  </conditionalFormatting>
  <conditionalFormatting sqref="C3:C32">
    <cfRule type="duplicateValues" dxfId="17" priority="12"/>
  </conditionalFormatting>
  <conditionalFormatting sqref="H3:H32">
    <cfRule type="cellIs" dxfId="10" priority="4" operator="greaterThan">
      <formula>5</formula>
    </cfRule>
  </conditionalFormatting>
  <conditionalFormatting sqref="J3:K32">
    <cfRule type="expression" dxfId="0" priority="1">
      <formula>AND($J2&gt;50000,$K2&gt;8000)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D0789F-BE9E-4C13-972A-DC5BE7D179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7535-CEE5-4685-9292-7E1FCCDC8DF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3931-45DF-46E0-AA54-B9616F10E950}">
  <dimension ref="A1:B27"/>
  <sheetViews>
    <sheetView topLeftCell="A9" zoomScaleNormal="100" workbookViewId="0">
      <selection activeCell="D13" sqref="D13"/>
    </sheetView>
  </sheetViews>
  <sheetFormatPr defaultRowHeight="14.5" x14ac:dyDescent="0.35"/>
  <cols>
    <col min="1" max="1" width="13.453125" customWidth="1"/>
    <col min="2" max="2" width="11" customWidth="1"/>
  </cols>
  <sheetData>
    <row r="1" spans="1:2" x14ac:dyDescent="0.35">
      <c r="A1" s="1" t="s">
        <v>15</v>
      </c>
      <c r="B1" s="2" t="s">
        <v>19</v>
      </c>
    </row>
    <row r="2" spans="1:2" x14ac:dyDescent="0.35">
      <c r="A2" s="3" t="s">
        <v>28</v>
      </c>
      <c r="B2" s="22">
        <v>453000</v>
      </c>
    </row>
    <row r="3" spans="1:2" x14ac:dyDescent="0.35">
      <c r="A3" s="3" t="s">
        <v>36</v>
      </c>
      <c r="B3" s="22">
        <v>30200</v>
      </c>
    </row>
    <row r="4" spans="1:2" x14ac:dyDescent="0.35">
      <c r="A4" s="3" t="s">
        <v>43</v>
      </c>
      <c r="B4" s="22">
        <v>25850</v>
      </c>
    </row>
    <row r="5" spans="1:2" x14ac:dyDescent="0.35">
      <c r="A5" s="3" t="s">
        <v>49</v>
      </c>
      <c r="B5" s="22">
        <v>181500</v>
      </c>
    </row>
    <row r="6" spans="1:2" x14ac:dyDescent="0.35">
      <c r="A6" s="3" t="s">
        <v>53</v>
      </c>
      <c r="B6" s="22">
        <v>149500</v>
      </c>
    </row>
    <row r="7" spans="1:2" ht="23.4" customHeight="1" x14ac:dyDescent="0.35">
      <c r="A7" s="3" t="s">
        <v>56</v>
      </c>
      <c r="B7" s="22">
        <v>32300</v>
      </c>
    </row>
    <row r="10" spans="1:2" x14ac:dyDescent="0.35">
      <c r="A10" s="1" t="s">
        <v>121</v>
      </c>
      <c r="B10" s="2" t="s">
        <v>19</v>
      </c>
    </row>
    <row r="11" spans="1:2" x14ac:dyDescent="0.35">
      <c r="A11" s="3" t="s">
        <v>122</v>
      </c>
      <c r="B11" s="4">
        <v>294500</v>
      </c>
    </row>
    <row r="12" spans="1:2" x14ac:dyDescent="0.35">
      <c r="A12" s="3" t="s">
        <v>123</v>
      </c>
      <c r="B12" s="4">
        <v>330000</v>
      </c>
    </row>
    <row r="13" spans="1:2" x14ac:dyDescent="0.35">
      <c r="A13" s="3" t="s">
        <v>124</v>
      </c>
      <c r="B13" s="4">
        <v>370000</v>
      </c>
    </row>
    <row r="16" spans="1:2" x14ac:dyDescent="0.35">
      <c r="A16" s="1" t="s">
        <v>16</v>
      </c>
      <c r="B16" s="2" t="s">
        <v>19</v>
      </c>
    </row>
    <row r="17" spans="1:2" x14ac:dyDescent="0.35">
      <c r="A17" s="3" t="s">
        <v>29</v>
      </c>
      <c r="B17" s="4">
        <v>850000</v>
      </c>
    </row>
    <row r="18" spans="1:2" x14ac:dyDescent="0.35">
      <c r="A18" s="3" t="s">
        <v>37</v>
      </c>
      <c r="B18" s="4">
        <v>120000</v>
      </c>
    </row>
    <row r="21" spans="1:2" x14ac:dyDescent="0.35">
      <c r="A21" s="2" t="s">
        <v>17</v>
      </c>
      <c r="B21" s="2" t="s">
        <v>19</v>
      </c>
    </row>
    <row r="22" spans="1:2" x14ac:dyDescent="0.35">
      <c r="A22" s="4">
        <v>1</v>
      </c>
      <c r="B22" s="4">
        <v>22000</v>
      </c>
    </row>
    <row r="23" spans="1:2" x14ac:dyDescent="0.35">
      <c r="A23" s="4">
        <v>2</v>
      </c>
      <c r="B23" s="4">
        <v>50000</v>
      </c>
    </row>
    <row r="24" spans="1:2" x14ac:dyDescent="0.35">
      <c r="A24" s="4">
        <v>3</v>
      </c>
      <c r="B24" s="4">
        <v>60000</v>
      </c>
    </row>
    <row r="25" spans="1:2" x14ac:dyDescent="0.35">
      <c r="A25" s="4">
        <v>4</v>
      </c>
      <c r="B25" s="4">
        <v>84000</v>
      </c>
    </row>
    <row r="26" spans="1:2" x14ac:dyDescent="0.35">
      <c r="A26" s="4">
        <v>6</v>
      </c>
      <c r="B26" s="4">
        <v>110000</v>
      </c>
    </row>
    <row r="27" spans="1:2" x14ac:dyDescent="0.35">
      <c r="A27" s="4">
        <v>10</v>
      </c>
      <c r="B27" s="4">
        <v>114000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3D2E-0DAF-4328-95D8-6B0D6D614E97}">
  <dimension ref="H3:L15"/>
  <sheetViews>
    <sheetView topLeftCell="A5" zoomScale="90" zoomScaleNormal="90" workbookViewId="0">
      <selection activeCell="M15" sqref="M15"/>
    </sheetView>
  </sheetViews>
  <sheetFormatPr defaultRowHeight="14.5" x14ac:dyDescent="0.35"/>
  <cols>
    <col min="8" max="8" width="17.6328125" customWidth="1"/>
    <col min="9" max="9" width="15.36328125" customWidth="1"/>
    <col min="10" max="10" width="15.6328125" customWidth="1"/>
    <col min="11" max="11" width="15.81640625" customWidth="1"/>
    <col min="12" max="12" width="17.90625" customWidth="1"/>
  </cols>
  <sheetData>
    <row r="3" spans="8:12" ht="16" thickBot="1" x14ac:dyDescent="0.5">
      <c r="H3" s="23" t="s">
        <v>106</v>
      </c>
      <c r="I3" s="24"/>
      <c r="J3" s="24"/>
      <c r="K3" s="24"/>
      <c r="L3" s="24"/>
    </row>
    <row r="4" spans="8:12" x14ac:dyDescent="0.35">
      <c r="H4" s="5"/>
      <c r="I4" s="5"/>
      <c r="J4" s="5"/>
      <c r="K4" s="5"/>
      <c r="L4" s="5"/>
    </row>
    <row r="5" spans="8:12" ht="26.5" thickBot="1" x14ac:dyDescent="0.65">
      <c r="H5" s="6" t="s">
        <v>107</v>
      </c>
      <c r="I5" s="7" t="s">
        <v>108</v>
      </c>
      <c r="J5" s="7" t="s">
        <v>109</v>
      </c>
      <c r="K5" s="7" t="s">
        <v>110</v>
      </c>
      <c r="L5" s="6" t="s">
        <v>111</v>
      </c>
    </row>
    <row r="6" spans="8:12" ht="26" x14ac:dyDescent="0.6">
      <c r="H6" s="8" t="s">
        <v>112</v>
      </c>
      <c r="I6" s="9">
        <v>20000</v>
      </c>
      <c r="J6" s="9">
        <v>15000</v>
      </c>
      <c r="K6" s="9">
        <v>15000</v>
      </c>
      <c r="L6" s="9">
        <f>SUM(I6:K6)</f>
        <v>50000</v>
      </c>
    </row>
    <row r="7" spans="8:12" ht="26" x14ac:dyDescent="0.6">
      <c r="H7" s="10" t="s">
        <v>113</v>
      </c>
      <c r="I7" s="9">
        <v>2000</v>
      </c>
      <c r="J7" s="9">
        <v>2000</v>
      </c>
      <c r="K7" s="9">
        <v>2500</v>
      </c>
      <c r="L7" s="9">
        <f t="shared" ref="L7:L10" si="0">SUM(I7:K7)</f>
        <v>6500</v>
      </c>
    </row>
    <row r="8" spans="8:12" ht="26" x14ac:dyDescent="0.6">
      <c r="H8" s="10" t="s">
        <v>114</v>
      </c>
      <c r="I8" s="9">
        <v>0</v>
      </c>
      <c r="J8" s="9">
        <v>2000</v>
      </c>
      <c r="K8" s="9">
        <v>3000</v>
      </c>
      <c r="L8" s="9">
        <f t="shared" si="0"/>
        <v>5000</v>
      </c>
    </row>
    <row r="9" spans="8:12" ht="26" x14ac:dyDescent="0.6">
      <c r="H9" s="10" t="s">
        <v>115</v>
      </c>
      <c r="I9" s="9">
        <v>1200</v>
      </c>
      <c r="J9" s="9">
        <v>1200</v>
      </c>
      <c r="K9" s="9">
        <v>1200</v>
      </c>
      <c r="L9" s="9">
        <f t="shared" si="0"/>
        <v>3600</v>
      </c>
    </row>
    <row r="10" spans="8:12" ht="26" x14ac:dyDescent="0.6">
      <c r="H10" s="10" t="s">
        <v>116</v>
      </c>
      <c r="I10" s="9">
        <v>1500</v>
      </c>
      <c r="J10" s="9">
        <v>2500</v>
      </c>
      <c r="K10" s="9">
        <v>3000</v>
      </c>
      <c r="L10" s="9">
        <f t="shared" si="0"/>
        <v>7000</v>
      </c>
    </row>
    <row r="11" spans="8:12" ht="36.65" customHeight="1" x14ac:dyDescent="0.6">
      <c r="H11" s="11" t="s">
        <v>111</v>
      </c>
      <c r="I11" s="9">
        <f>SUM(I6:I10)</f>
        <v>24700</v>
      </c>
      <c r="J11" s="9">
        <f t="shared" ref="J11:L11" si="1">SUM(J6:J10)</f>
        <v>22700</v>
      </c>
      <c r="K11" s="9">
        <f t="shared" si="1"/>
        <v>24700</v>
      </c>
      <c r="L11" s="9">
        <f t="shared" si="1"/>
        <v>72100</v>
      </c>
    </row>
    <row r="12" spans="8:12" ht="26" x14ac:dyDescent="0.6">
      <c r="H12" s="11" t="s">
        <v>117</v>
      </c>
      <c r="I12" s="9">
        <f>MIN(I6:I10)</f>
        <v>0</v>
      </c>
      <c r="J12" s="9">
        <f t="shared" ref="J12:L12" si="2">MIN(J6:J10)</f>
        <v>1200</v>
      </c>
      <c r="K12" s="9">
        <f t="shared" si="2"/>
        <v>1200</v>
      </c>
      <c r="L12" s="9">
        <f t="shared" si="2"/>
        <v>3600</v>
      </c>
    </row>
    <row r="13" spans="8:12" ht="26" x14ac:dyDescent="0.6">
      <c r="H13" s="11" t="s">
        <v>118</v>
      </c>
      <c r="I13" s="9">
        <f>MAX(I6:I10)</f>
        <v>20000</v>
      </c>
      <c r="J13" s="9">
        <f t="shared" ref="J13:L13" si="3">MAX(J6:J10)</f>
        <v>15000</v>
      </c>
      <c r="K13" s="9">
        <f t="shared" si="3"/>
        <v>15000</v>
      </c>
      <c r="L13" s="9">
        <f t="shared" si="3"/>
        <v>50000</v>
      </c>
    </row>
    <row r="14" spans="8:12" ht="24.65" customHeight="1" x14ac:dyDescent="0.6">
      <c r="H14" s="11" t="s">
        <v>119</v>
      </c>
      <c r="I14" s="9">
        <f>AVERAGE(I6:I10)</f>
        <v>4940</v>
      </c>
      <c r="J14" s="9">
        <f t="shared" ref="J14:L14" si="4">AVERAGE(J6:J10)</f>
        <v>4540</v>
      </c>
      <c r="K14" s="9">
        <f t="shared" si="4"/>
        <v>4940</v>
      </c>
      <c r="L14" s="9">
        <f t="shared" si="4"/>
        <v>14420</v>
      </c>
    </row>
    <row r="15" spans="8:12" ht="22.75" customHeight="1" x14ac:dyDescent="0.6">
      <c r="H15" s="11" t="s">
        <v>120</v>
      </c>
      <c r="I15" s="9">
        <f>COUNT(I6:I10)</f>
        <v>5</v>
      </c>
      <c r="J15" s="9">
        <f t="shared" ref="J15:L15" si="5">COUNT(J6:J10)</f>
        <v>5</v>
      </c>
      <c r="K15" s="9">
        <f t="shared" si="5"/>
        <v>5</v>
      </c>
      <c r="L15" s="9">
        <f t="shared" si="5"/>
        <v>5</v>
      </c>
    </row>
  </sheetData>
  <mergeCells count="1"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Formatting</vt:lpstr>
      <vt:lpstr>Sheet1</vt:lpstr>
      <vt:lpstr>Charts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Kancharla Shiva Shankar</cp:lastModifiedBy>
  <dcterms:created xsi:type="dcterms:W3CDTF">2026-09-07T08:10:34Z</dcterms:created>
  <dcterms:modified xsi:type="dcterms:W3CDTF">2026-09-29T17:40:33Z</dcterms:modified>
</cp:coreProperties>
</file>